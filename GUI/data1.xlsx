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55"/>
  </bookViews>
  <sheets>
    <sheet name="PCA之后的结果" sheetId="6" r:id="rId1"/>
    <sheet name="总表" sheetId="5" r:id="rId2"/>
    <sheet name="流线长度" sheetId="3" r:id="rId3"/>
    <sheet name="行为时长" sheetId="2" r:id="rId4"/>
    <sheet name="各区域停留时长" sheetId="1" r:id="rId5"/>
    <sheet name="问卷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<sst xmlns="http://schemas.openxmlformats.org/spreadsheetml/2006/main" count="104" uniqueCount="66">
  <si>
    <t>性别</t>
  </si>
  <si>
    <t>年龄</t>
  </si>
  <si>
    <t>流线长度</t>
  </si>
  <si>
    <t>观展时长</t>
  </si>
  <si>
    <t>交流时长</t>
  </si>
  <si>
    <t>其他时长</t>
  </si>
  <si>
    <t>休息时长</t>
  </si>
  <si>
    <t>移动速率</t>
  </si>
  <si>
    <t>满意度</t>
  </si>
  <si>
    <t>人员编号</t>
  </si>
  <si>
    <t>主门厅</t>
  </si>
  <si>
    <t>主题展厅</t>
  </si>
  <si>
    <t>一层过厅1</t>
  </si>
  <si>
    <t>一层过厅2</t>
  </si>
  <si>
    <t>影像厅</t>
  </si>
  <si>
    <t>第一展厅</t>
  </si>
  <si>
    <t>第二展厅</t>
  </si>
  <si>
    <t>二层过厅</t>
  </si>
  <si>
    <t>第三展厅</t>
  </si>
  <si>
    <t>第四展厅</t>
  </si>
  <si>
    <t>临时展厅</t>
  </si>
  <si>
    <t>其他区域</t>
  </si>
  <si>
    <t>流线长度（米）</t>
  </si>
  <si>
    <t>主门厅区域</t>
  </si>
  <si>
    <t>主题展厅区域</t>
  </si>
  <si>
    <t>一层过厅区域1</t>
  </si>
  <si>
    <t>一层过厅区域2</t>
  </si>
  <si>
    <t>影像厅区域</t>
  </si>
  <si>
    <t>第一展厅区域</t>
  </si>
  <si>
    <t>第二展厅区域</t>
  </si>
  <si>
    <t>二层过厅区域</t>
  </si>
  <si>
    <t>第三展厅区域</t>
  </si>
  <si>
    <t>第四展厅区域</t>
  </si>
  <si>
    <t>临时展厅区域</t>
  </si>
  <si>
    <t>总时长</t>
  </si>
  <si>
    <t>拍照</t>
  </si>
  <si>
    <t>交流</t>
  </si>
  <si>
    <t>玩手机</t>
  </si>
  <si>
    <t>休息</t>
  </si>
  <si>
    <t>停留观展</t>
  </si>
  <si>
    <t>其他</t>
  </si>
  <si>
    <t>整体参观感受</t>
  </si>
  <si>
    <r>
      <rPr>
        <sz val="10"/>
        <rFont val="Arial"/>
        <charset val="134"/>
      </rPr>
      <t>—2.</t>
    </r>
    <r>
      <rPr>
        <sz val="10"/>
        <rFont val="宋体"/>
        <charset val="134"/>
      </rPr>
      <t>您向其他人推荐此展馆的意愿程度为？</t>
    </r>
  </si>
  <si>
    <t>3 (1温度)</t>
  </si>
  <si>
    <t>3 (2光照)</t>
  </si>
  <si>
    <t>3 (3湿度)</t>
  </si>
  <si>
    <t>3 (4风速)</t>
  </si>
  <si>
    <t>3 (5声音)</t>
  </si>
  <si>
    <t>3 (6展品内容)</t>
  </si>
  <si>
    <t>3 (7展厅内人数)</t>
  </si>
  <si>
    <t>3 (8观展流线)</t>
  </si>
  <si>
    <t>3 (9展厅面积)</t>
  </si>
  <si>
    <t>3 (10装饰元素与建筑材料使用)</t>
  </si>
  <si>
    <t>三、室内环境感知调查—1.您对该展馆的整体室内环境舒适性是否满意？</t>
  </si>
  <si>
    <t>—2.您对该展馆的温度舒适性是否满意？</t>
  </si>
  <si>
    <t>—3.您对该展馆的光照舒适性是否满意？</t>
  </si>
  <si>
    <t>—4.您对该展馆的湿度舒适性是否满意？</t>
  </si>
  <si>
    <t>—5.您对该展馆的通风情况舒适性是否满意？</t>
  </si>
  <si>
    <t>—6.您对该展馆的安静程度是否满意？</t>
  </si>
  <si>
    <t>四、空间使用情况调查—1.您认为该展馆的尺寸和比例是否适宜？</t>
  </si>
  <si>
    <t>—2.您认为该展馆内您的观展注意力是否集中？</t>
  </si>
  <si>
    <t>—3.您认为该展馆的布局是否满足观展需求？</t>
  </si>
  <si>
    <t>—4.您认为该展馆的内部交通流线设计是否流畅高效？</t>
  </si>
  <si>
    <t>—5.您认为该展馆的引导性是否清晰，便于您快速找到目标方向？</t>
  </si>
  <si>
    <t>—6.您认为您在该展馆的活动体验是否丰富？</t>
  </si>
  <si>
    <t>—7.您认为该展馆对公众的开放程度如何？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</si>
</sst>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  <numFmt numFmtId="178" formatCode="0_ "/>
    <numFmt numFmtId="179" formatCode="0.0_ "/>
  </numFmts>
  <fonts count="25">
    <font>
      <sz val="11"/>
      <color theme="1"/>
      <name val="宋体"/>
      <charset val="134"/>
      <scheme val="minor"/>
    </font>
    <font>
      <sz val="10"/>
      <name val="Arial"/>
      <charset val="134"/>
    </font>
    <font>
      <b/>
      <sz val="11"/>
      <color theme="1"/>
      <name val="宋体"/>
      <charset val="134"/>
      <scheme val="minor"/>
    </font>
    <font>
      <sz val="9"/>
      <color rgb="FF000000"/>
      <name val="宋体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" fillId="0" borderId="0"/>
  </cellStyleXfs>
  <cellXfs count="1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49" applyFont="1"/>
    <xf numFmtId="0" fontId="1" fillId="0" borderId="0" xfId="49"/>
    <xf numFmtId="0" fontId="2" fillId="0" borderId="1" xfId="0" applyFont="1" applyBorder="1" applyAlignment="1">
      <alignment horizontal="center" vertical="center"/>
    </xf>
    <xf numFmtId="0" fontId="1" fillId="0" borderId="1" xfId="49" applyBorder="1" applyAlignment="1">
      <alignment horizontal="center"/>
    </xf>
    <xf numFmtId="176" fontId="0" fillId="0" borderId="1" xfId="0" applyNumberForma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workbookViewId="0">
      <selection activeCell="K8" sqref="K8"/>
    </sheetView>
  </sheetViews>
  <sheetFormatPr defaultColWidth="9" defaultRowHeight="13.5"/>
  <cols>
    <col min="1" max="8" width="13.858407079646"/>
    <col min="9" max="9" width="14.3451327433628" customWidth="1"/>
  </cols>
  <sheetData>
    <row r="1" spans="1:9">
      <c r="A1" s="9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" t="s">
        <v>8</v>
      </c>
    </row>
    <row r="2" spans="1:9">
      <c r="A2" s="10">
        <v>1</v>
      </c>
      <c r="B2" s="10">
        <v>20</v>
      </c>
      <c r="C2" s="11">
        <v>1360.8</v>
      </c>
      <c r="D2" s="12">
        <v>32.2</v>
      </c>
      <c r="E2" s="12">
        <v>3.5</v>
      </c>
      <c r="F2" s="12">
        <v>22</v>
      </c>
      <c r="G2" s="12">
        <v>8.3</v>
      </c>
      <c r="H2" s="13">
        <v>19.49</v>
      </c>
      <c r="I2" s="5">
        <v>6</v>
      </c>
    </row>
    <row r="3" spans="1:9">
      <c r="A3" s="10">
        <v>1</v>
      </c>
      <c r="B3" s="10">
        <v>18</v>
      </c>
      <c r="C3" s="11">
        <v>1762.4</v>
      </c>
      <c r="D3" s="12">
        <v>47</v>
      </c>
      <c r="E3" s="12">
        <v>1.5</v>
      </c>
      <c r="F3" s="12">
        <v>0</v>
      </c>
      <c r="G3" s="12">
        <v>4.5</v>
      </c>
      <c r="H3" s="13">
        <v>31.17</v>
      </c>
      <c r="I3" s="5">
        <v>7</v>
      </c>
    </row>
    <row r="4" spans="1:9">
      <c r="A4" s="14">
        <v>2</v>
      </c>
      <c r="B4" s="14">
        <v>10</v>
      </c>
      <c r="C4" s="11">
        <v>1233.7</v>
      </c>
      <c r="D4" s="12">
        <v>14.8</v>
      </c>
      <c r="E4" s="12">
        <v>9.8</v>
      </c>
      <c r="F4" s="12">
        <v>11</v>
      </c>
      <c r="G4" s="12">
        <v>2.4</v>
      </c>
      <c r="H4" s="13">
        <v>30.64</v>
      </c>
      <c r="I4" s="5">
        <v>7</v>
      </c>
    </row>
    <row r="5" spans="1:9">
      <c r="A5" s="14">
        <v>2</v>
      </c>
      <c r="B5" s="14">
        <v>39</v>
      </c>
      <c r="C5" s="11">
        <v>1009.1</v>
      </c>
      <c r="D5" s="12">
        <v>54</v>
      </c>
      <c r="E5" s="12">
        <v>0</v>
      </c>
      <c r="F5" s="12">
        <v>0</v>
      </c>
      <c r="G5" s="12">
        <v>4</v>
      </c>
      <c r="H5" s="13">
        <v>15.88</v>
      </c>
      <c r="I5" s="5">
        <v>7</v>
      </c>
    </row>
    <row r="6" spans="1:9">
      <c r="A6" s="14">
        <v>2</v>
      </c>
      <c r="B6" s="14">
        <v>21</v>
      </c>
      <c r="C6" s="11">
        <v>1216.6</v>
      </c>
      <c r="D6" s="12">
        <v>50.6</v>
      </c>
      <c r="E6" s="12">
        <v>7.4</v>
      </c>
      <c r="F6" s="12">
        <v>12</v>
      </c>
      <c r="G6" s="12">
        <v>2</v>
      </c>
      <c r="H6" s="13">
        <v>15.82</v>
      </c>
      <c r="I6" s="5">
        <v>7</v>
      </c>
    </row>
    <row r="7" spans="1:9">
      <c r="A7" s="14">
        <v>2</v>
      </c>
      <c r="B7" s="14">
        <v>21</v>
      </c>
      <c r="C7" s="11">
        <v>1415.6</v>
      </c>
      <c r="D7" s="12">
        <v>34.4</v>
      </c>
      <c r="E7" s="12">
        <v>10.6</v>
      </c>
      <c r="F7" s="12">
        <v>0</v>
      </c>
      <c r="G7" s="12">
        <v>5</v>
      </c>
      <c r="H7" s="13">
        <v>27.31</v>
      </c>
      <c r="I7" s="5">
        <v>7</v>
      </c>
    </row>
    <row r="8" spans="1:9">
      <c r="A8" s="14">
        <v>2</v>
      </c>
      <c r="B8" s="14">
        <v>21</v>
      </c>
      <c r="C8" s="11">
        <v>1267.3</v>
      </c>
      <c r="D8" s="12">
        <v>49.4</v>
      </c>
      <c r="E8" s="12">
        <v>13.2</v>
      </c>
      <c r="F8" s="12">
        <v>9</v>
      </c>
      <c r="G8" s="12">
        <v>2.4</v>
      </c>
      <c r="H8" s="13">
        <v>16.33</v>
      </c>
      <c r="I8" s="5">
        <v>5</v>
      </c>
    </row>
    <row r="9" spans="1:9">
      <c r="A9" s="14">
        <v>2</v>
      </c>
      <c r="B9" s="14">
        <v>20</v>
      </c>
      <c r="C9" s="11">
        <v>1329.1</v>
      </c>
      <c r="D9" s="12">
        <v>24.7</v>
      </c>
      <c r="E9" s="12">
        <v>14.4</v>
      </c>
      <c r="F9" s="12">
        <v>3</v>
      </c>
      <c r="G9" s="12">
        <v>6.9</v>
      </c>
      <c r="H9" s="13">
        <v>25.41</v>
      </c>
      <c r="I9" s="5">
        <v>7</v>
      </c>
    </row>
    <row r="10" spans="1:9">
      <c r="A10" s="14">
        <v>2</v>
      </c>
      <c r="B10" s="14">
        <v>21</v>
      </c>
      <c r="C10" s="11">
        <v>1337.8</v>
      </c>
      <c r="D10" s="12">
        <v>43</v>
      </c>
      <c r="E10" s="12">
        <v>4</v>
      </c>
      <c r="F10" s="12">
        <v>6</v>
      </c>
      <c r="G10" s="12">
        <v>13</v>
      </c>
      <c r="H10" s="13">
        <v>19.53</v>
      </c>
      <c r="I10" s="5">
        <v>6</v>
      </c>
    </row>
    <row r="11" spans="1:9">
      <c r="A11" s="14">
        <v>1</v>
      </c>
      <c r="B11" s="14">
        <v>22</v>
      </c>
      <c r="C11" s="11">
        <v>528.1</v>
      </c>
      <c r="D11" s="12">
        <v>21</v>
      </c>
      <c r="E11" s="12">
        <v>0</v>
      </c>
      <c r="F11" s="12">
        <v>7</v>
      </c>
      <c r="G11" s="12">
        <v>7</v>
      </c>
      <c r="H11" s="13">
        <v>13.03</v>
      </c>
      <c r="I11" s="5">
        <v>6</v>
      </c>
    </row>
    <row r="12" spans="1:9">
      <c r="A12" s="14">
        <v>2</v>
      </c>
      <c r="B12" s="14">
        <v>32</v>
      </c>
      <c r="C12" s="11">
        <v>1316.8</v>
      </c>
      <c r="D12" s="12">
        <v>78</v>
      </c>
      <c r="E12" s="12">
        <v>0</v>
      </c>
      <c r="F12" s="12">
        <v>7</v>
      </c>
      <c r="G12" s="12">
        <v>7</v>
      </c>
      <c r="H12" s="13">
        <v>13.91</v>
      </c>
      <c r="I12" s="5">
        <v>6</v>
      </c>
    </row>
    <row r="13" spans="1:9">
      <c r="A13" s="14">
        <v>2</v>
      </c>
      <c r="B13" s="14">
        <v>22</v>
      </c>
      <c r="C13" s="11">
        <v>1077.1</v>
      </c>
      <c r="D13" s="12">
        <v>60.5</v>
      </c>
      <c r="E13" s="12">
        <v>19.5</v>
      </c>
      <c r="F13" s="12">
        <v>0</v>
      </c>
      <c r="G13" s="12">
        <v>8</v>
      </c>
      <c r="H13" s="13">
        <v>11.82</v>
      </c>
      <c r="I13" s="5">
        <v>6</v>
      </c>
    </row>
    <row r="14" spans="1:9">
      <c r="A14" s="14">
        <v>2</v>
      </c>
      <c r="B14" s="14">
        <v>19</v>
      </c>
      <c r="C14" s="11">
        <v>1240.2</v>
      </c>
      <c r="D14" s="12">
        <v>29.7</v>
      </c>
      <c r="E14" s="12">
        <v>4.3</v>
      </c>
      <c r="F14" s="12">
        <v>19</v>
      </c>
      <c r="G14" s="12">
        <v>4</v>
      </c>
      <c r="H14" s="13">
        <v>20.77</v>
      </c>
      <c r="I14" s="5">
        <v>6</v>
      </c>
    </row>
    <row r="15" spans="1:9">
      <c r="A15" s="14">
        <v>2</v>
      </c>
      <c r="B15" s="14">
        <v>22</v>
      </c>
      <c r="C15" s="11">
        <v>260.9</v>
      </c>
      <c r="D15" s="12">
        <v>13</v>
      </c>
      <c r="E15" s="12">
        <v>0</v>
      </c>
      <c r="F15" s="12">
        <v>12</v>
      </c>
      <c r="G15" s="12">
        <v>6</v>
      </c>
      <c r="H15" s="13">
        <v>6.45</v>
      </c>
      <c r="I15" s="5">
        <v>7</v>
      </c>
    </row>
    <row r="16" spans="1:9">
      <c r="A16" s="14">
        <v>2</v>
      </c>
      <c r="B16" s="14">
        <v>18</v>
      </c>
      <c r="C16" s="11">
        <v>1218.1</v>
      </c>
      <c r="D16" s="12">
        <v>36.9</v>
      </c>
      <c r="E16" s="12">
        <v>16.9</v>
      </c>
      <c r="F16" s="12">
        <v>5</v>
      </c>
      <c r="G16" s="12">
        <v>5.2</v>
      </c>
      <c r="H16" s="13">
        <v>18.02</v>
      </c>
      <c r="I16" s="5">
        <v>5</v>
      </c>
    </row>
    <row r="17" spans="1:9">
      <c r="A17" s="14">
        <v>2</v>
      </c>
      <c r="B17" s="14">
        <v>21</v>
      </c>
      <c r="C17" s="11">
        <v>1320.1</v>
      </c>
      <c r="D17" s="12">
        <v>20.8</v>
      </c>
      <c r="E17" s="12">
        <v>10.2</v>
      </c>
      <c r="F17" s="12">
        <v>4</v>
      </c>
      <c r="G17" s="12">
        <v>3</v>
      </c>
      <c r="H17" s="13">
        <v>33.57</v>
      </c>
      <c r="I17" s="5">
        <v>4</v>
      </c>
    </row>
    <row r="18" spans="1:9">
      <c r="A18" s="14">
        <v>1</v>
      </c>
      <c r="B18" s="14">
        <v>47</v>
      </c>
      <c r="C18" s="11">
        <v>1013.5</v>
      </c>
      <c r="D18" s="12">
        <v>22.5</v>
      </c>
      <c r="E18" s="12">
        <v>6.5</v>
      </c>
      <c r="F18" s="12">
        <v>22</v>
      </c>
      <c r="G18" s="12">
        <v>6</v>
      </c>
      <c r="H18" s="13">
        <v>16.72</v>
      </c>
      <c r="I18" s="5">
        <v>5</v>
      </c>
    </row>
    <row r="19" spans="1:9">
      <c r="A19" s="14">
        <v>2</v>
      </c>
      <c r="B19" s="14">
        <v>21</v>
      </c>
      <c r="C19" s="11">
        <v>566.9</v>
      </c>
      <c r="D19" s="12">
        <v>11</v>
      </c>
      <c r="E19" s="12">
        <v>3</v>
      </c>
      <c r="F19" s="12">
        <v>7</v>
      </c>
      <c r="G19" s="12">
        <v>4</v>
      </c>
      <c r="H19" s="13">
        <v>21.21</v>
      </c>
      <c r="I19" s="5">
        <v>7</v>
      </c>
    </row>
    <row r="20" spans="1:9">
      <c r="A20" s="14">
        <v>2</v>
      </c>
      <c r="B20" s="14">
        <v>19</v>
      </c>
      <c r="C20" s="11">
        <v>715.4</v>
      </c>
      <c r="D20" s="12">
        <v>25.2</v>
      </c>
      <c r="E20" s="12">
        <v>8.8</v>
      </c>
      <c r="F20" s="12">
        <v>0</v>
      </c>
      <c r="G20" s="12">
        <v>4</v>
      </c>
      <c r="H20" s="13">
        <v>17.19</v>
      </c>
      <c r="I20" s="5">
        <v>7</v>
      </c>
    </row>
    <row r="21" spans="1:9">
      <c r="A21" s="14">
        <v>1</v>
      </c>
      <c r="B21" s="14">
        <v>51</v>
      </c>
      <c r="C21" s="11">
        <v>470.6</v>
      </c>
      <c r="D21" s="12">
        <v>9.6</v>
      </c>
      <c r="E21" s="12">
        <v>1.9</v>
      </c>
      <c r="F21" s="12">
        <v>3</v>
      </c>
      <c r="G21" s="12">
        <v>9.5</v>
      </c>
      <c r="H21" s="13">
        <v>16.59</v>
      </c>
      <c r="I21" s="5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1"/>
  <sheetViews>
    <sheetView topLeftCell="S1" workbookViewId="0">
      <selection activeCell="U28" sqref="U28"/>
    </sheetView>
  </sheetViews>
  <sheetFormatPr defaultColWidth="9" defaultRowHeight="13.5"/>
  <cols>
    <col min="3" max="3" width="9.53097345132743"/>
    <col min="10" max="10" width="9.53097345132743"/>
    <col min="13" max="13" width="9.49557522123894" customWidth="1"/>
    <col min="14" max="14" width="16.1327433628319" customWidth="1"/>
    <col min="15" max="15" width="11.6814159292035" customWidth="1"/>
    <col min="34" max="34" width="14.3451327433628" customWidth="1"/>
  </cols>
  <sheetData>
    <row r="1" spans="1:34">
      <c r="A1" s="1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7" t="s">
        <v>22</v>
      </c>
      <c r="O1" s="4" t="s">
        <v>23</v>
      </c>
      <c r="P1" s="4" t="s">
        <v>24</v>
      </c>
      <c r="Q1" s="4" t="s">
        <v>25</v>
      </c>
      <c r="R1" s="4" t="s">
        <v>26</v>
      </c>
      <c r="S1" s="4" t="s">
        <v>27</v>
      </c>
      <c r="T1" s="4" t="s">
        <v>28</v>
      </c>
      <c r="U1" s="4" t="s">
        <v>29</v>
      </c>
      <c r="V1" s="4" t="s">
        <v>30</v>
      </c>
      <c r="W1" s="4" t="s">
        <v>31</v>
      </c>
      <c r="X1" s="4" t="s">
        <v>32</v>
      </c>
      <c r="Y1" s="4" t="s">
        <v>33</v>
      </c>
      <c r="Z1" s="4" t="s">
        <v>21</v>
      </c>
      <c r="AA1" s="4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</row>
    <row r="2" spans="1:34">
      <c r="A2" s="1">
        <v>1</v>
      </c>
      <c r="B2" s="6">
        <v>66.18</v>
      </c>
      <c r="C2" s="1">
        <v>60.856</v>
      </c>
      <c r="D2" s="1">
        <v>127.335</v>
      </c>
      <c r="E2" s="1">
        <v>45.327</v>
      </c>
      <c r="F2" s="1">
        <v>0</v>
      </c>
      <c r="G2" s="1">
        <v>213.887</v>
      </c>
      <c r="H2" s="1">
        <v>159.635</v>
      </c>
      <c r="I2" s="1">
        <v>116.902</v>
      </c>
      <c r="J2" s="6">
        <v>357.72</v>
      </c>
      <c r="K2" s="1">
        <v>66.716</v>
      </c>
      <c r="L2" s="1">
        <v>72.005</v>
      </c>
      <c r="M2" s="1">
        <f t="shared" ref="M2:M21" si="0">N2-SUM(B2:L2)</f>
        <v>74.2669999999998</v>
      </c>
      <c r="N2" s="8">
        <v>1360.83</v>
      </c>
      <c r="O2" s="1">
        <v>1</v>
      </c>
      <c r="P2" s="1">
        <v>3.20000000000011</v>
      </c>
      <c r="Q2" s="1">
        <v>21.8000000000001</v>
      </c>
      <c r="R2" s="1">
        <v>0.999999999999979</v>
      </c>
      <c r="S2" s="1">
        <v>0</v>
      </c>
      <c r="T2" s="1">
        <v>6.99999999999994</v>
      </c>
      <c r="U2" s="1">
        <v>3.99999999999998</v>
      </c>
      <c r="V2" s="1">
        <v>0.999999999999979</v>
      </c>
      <c r="W2" s="1">
        <v>16.9999999999999</v>
      </c>
      <c r="X2" s="1">
        <v>0.999999999999979</v>
      </c>
      <c r="Y2" s="1">
        <v>4.99999999999989</v>
      </c>
      <c r="Z2" s="1">
        <v>4.0000000000001</v>
      </c>
      <c r="AA2" s="1">
        <v>66</v>
      </c>
      <c r="AB2" s="1">
        <v>0</v>
      </c>
      <c r="AC2" s="1">
        <v>3.49999999999996</v>
      </c>
      <c r="AD2" s="1">
        <v>3.29999999999996</v>
      </c>
      <c r="AE2" s="1">
        <v>22.0000000000001</v>
      </c>
      <c r="AF2" s="1">
        <v>32.1999999999999</v>
      </c>
      <c r="AG2" s="1">
        <v>5.00000000000008</v>
      </c>
      <c r="AH2" s="5">
        <v>6</v>
      </c>
    </row>
    <row r="3" spans="1:34">
      <c r="A3" s="1">
        <v>2</v>
      </c>
      <c r="B3" s="1">
        <v>75.934</v>
      </c>
      <c r="C3" s="1">
        <v>69.934</v>
      </c>
      <c r="D3" s="1">
        <v>145.376</v>
      </c>
      <c r="E3" s="1">
        <v>121.792</v>
      </c>
      <c r="F3" s="1">
        <v>51.006</v>
      </c>
      <c r="G3" s="6">
        <v>338.1</v>
      </c>
      <c r="H3" s="1">
        <v>344.229</v>
      </c>
      <c r="I3" s="1">
        <v>118.983</v>
      </c>
      <c r="J3" s="1">
        <v>258.348</v>
      </c>
      <c r="K3" s="1">
        <v>61.709</v>
      </c>
      <c r="L3" s="1">
        <v>66.634</v>
      </c>
      <c r="M3" s="1">
        <f t="shared" si="0"/>
        <v>110.361</v>
      </c>
      <c r="N3" s="8">
        <v>1762.406</v>
      </c>
      <c r="O3" s="1">
        <v>3.99999999999992</v>
      </c>
      <c r="P3" s="1">
        <v>2.49999999999998</v>
      </c>
      <c r="Q3" s="1">
        <v>3.5</v>
      </c>
      <c r="R3" s="1">
        <v>4.0000000000001</v>
      </c>
      <c r="S3" s="1">
        <v>0</v>
      </c>
      <c r="T3" s="1">
        <v>10.9999999999998</v>
      </c>
      <c r="U3" s="1">
        <v>11.9999999999999</v>
      </c>
      <c r="V3" s="1">
        <v>1.5</v>
      </c>
      <c r="W3" s="1">
        <v>6.49999999999998</v>
      </c>
      <c r="X3" s="1">
        <v>2</v>
      </c>
      <c r="Y3" s="1">
        <v>3</v>
      </c>
      <c r="Z3" s="1">
        <v>3.0000000000003</v>
      </c>
      <c r="AA3" s="1">
        <v>53</v>
      </c>
      <c r="AB3" s="1">
        <v>0.2</v>
      </c>
      <c r="AC3" s="1">
        <v>1.49999999999998</v>
      </c>
      <c r="AD3" s="1">
        <v>1.5</v>
      </c>
      <c r="AE3" s="1">
        <v>0</v>
      </c>
      <c r="AF3" s="1">
        <v>46.7999999999998</v>
      </c>
      <c r="AG3" s="1">
        <v>3.0000000000003</v>
      </c>
      <c r="AH3" s="5">
        <v>7</v>
      </c>
    </row>
    <row r="4" spans="1:34">
      <c r="A4" s="1">
        <v>3</v>
      </c>
      <c r="B4" s="1">
        <v>89.694</v>
      </c>
      <c r="C4" s="1">
        <v>59.002</v>
      </c>
      <c r="D4" s="1">
        <v>141.319</v>
      </c>
      <c r="E4" s="1">
        <v>56.433</v>
      </c>
      <c r="F4" s="1">
        <v>37.919</v>
      </c>
      <c r="G4" s="1">
        <v>197.189</v>
      </c>
      <c r="H4" s="1">
        <v>155.384</v>
      </c>
      <c r="I4" s="1">
        <v>27.188</v>
      </c>
      <c r="J4" s="1">
        <v>282.908</v>
      </c>
      <c r="K4" s="1">
        <v>52.936</v>
      </c>
      <c r="L4" s="1">
        <v>64.286</v>
      </c>
      <c r="M4" s="1">
        <f t="shared" si="0"/>
        <v>69.454</v>
      </c>
      <c r="N4" s="8">
        <v>1233.712</v>
      </c>
      <c r="O4" s="1">
        <v>3.99999999999992</v>
      </c>
      <c r="P4" s="1">
        <v>0.5</v>
      </c>
      <c r="Q4" s="1">
        <v>0.5</v>
      </c>
      <c r="R4" s="1">
        <v>1</v>
      </c>
      <c r="S4" s="1">
        <v>11</v>
      </c>
      <c r="T4" s="1">
        <v>3.99999999999996</v>
      </c>
      <c r="U4" s="1">
        <v>3.99999999999996</v>
      </c>
      <c r="V4" s="1">
        <v>0</v>
      </c>
      <c r="W4" s="1">
        <v>7.20000000000014</v>
      </c>
      <c r="X4" s="1">
        <v>2.79999999999996</v>
      </c>
      <c r="Y4" s="1">
        <v>1</v>
      </c>
      <c r="Z4" s="1">
        <v>2.0000000000002</v>
      </c>
      <c r="AA4" s="1">
        <v>38.0000000000001</v>
      </c>
      <c r="AB4" s="1">
        <v>3.39999999999996</v>
      </c>
      <c r="AC4" s="1">
        <v>9.7999999999999</v>
      </c>
      <c r="AD4" s="1">
        <v>0</v>
      </c>
      <c r="AE4" s="1">
        <v>11</v>
      </c>
      <c r="AF4" s="1">
        <v>11.4000000000001</v>
      </c>
      <c r="AG4" s="1">
        <v>2.4000000000001</v>
      </c>
      <c r="AH4" s="5">
        <v>7</v>
      </c>
    </row>
    <row r="5" spans="1:34">
      <c r="A5" s="1">
        <v>4</v>
      </c>
      <c r="B5" s="1">
        <v>58.922</v>
      </c>
      <c r="C5" s="1">
        <v>84.999</v>
      </c>
      <c r="D5" s="1">
        <v>112.851</v>
      </c>
      <c r="E5" s="1">
        <v>84.773</v>
      </c>
      <c r="F5" s="1">
        <v>63.363</v>
      </c>
      <c r="G5" s="1">
        <v>259.229</v>
      </c>
      <c r="H5" s="1">
        <v>256.726</v>
      </c>
      <c r="I5" s="1">
        <v>0</v>
      </c>
      <c r="J5" s="1">
        <v>0</v>
      </c>
      <c r="K5" s="1">
        <v>0</v>
      </c>
      <c r="L5" s="1">
        <v>0</v>
      </c>
      <c r="M5" s="1">
        <f t="shared" si="0"/>
        <v>88.248</v>
      </c>
      <c r="N5" s="8">
        <v>1009.111</v>
      </c>
      <c r="O5" s="1">
        <v>0</v>
      </c>
      <c r="P5" s="1">
        <v>2</v>
      </c>
      <c r="Q5" s="1">
        <v>8.9999999999999</v>
      </c>
      <c r="R5" s="1">
        <v>1</v>
      </c>
      <c r="S5" s="1">
        <v>3.99999999999996</v>
      </c>
      <c r="T5" s="1">
        <v>24.9999999999999</v>
      </c>
      <c r="U5" s="1">
        <v>13.0000000000004</v>
      </c>
      <c r="V5" s="1">
        <v>0</v>
      </c>
      <c r="W5" s="1">
        <v>0</v>
      </c>
      <c r="X5" s="1">
        <v>0</v>
      </c>
      <c r="Y5" s="1">
        <v>0</v>
      </c>
      <c r="Z5" s="1">
        <v>3.9999999999998</v>
      </c>
      <c r="AA5" s="1">
        <v>58</v>
      </c>
      <c r="AB5" s="1">
        <v>3.5</v>
      </c>
      <c r="AC5" s="1">
        <v>0</v>
      </c>
      <c r="AD5" s="1">
        <v>0</v>
      </c>
      <c r="AE5" s="1">
        <v>0</v>
      </c>
      <c r="AF5" s="1">
        <v>50.5000000000002</v>
      </c>
      <c r="AG5" s="1">
        <v>3.9999999999998</v>
      </c>
      <c r="AH5" s="5">
        <v>7</v>
      </c>
    </row>
    <row r="6" spans="1:34">
      <c r="A6" s="1">
        <v>5</v>
      </c>
      <c r="B6" s="1">
        <v>88.813</v>
      </c>
      <c r="C6" s="6">
        <v>66.33</v>
      </c>
      <c r="D6" s="6">
        <v>126.97</v>
      </c>
      <c r="E6" s="1">
        <v>45.016</v>
      </c>
      <c r="F6" s="1">
        <v>0</v>
      </c>
      <c r="G6" s="1">
        <v>191.061</v>
      </c>
      <c r="H6" s="6">
        <v>205</v>
      </c>
      <c r="I6" s="1">
        <v>58.501</v>
      </c>
      <c r="J6" s="6">
        <v>292.15</v>
      </c>
      <c r="K6" s="1">
        <v>65.411</v>
      </c>
      <c r="L6" s="1">
        <v>0</v>
      </c>
      <c r="M6" s="1">
        <f t="shared" si="0"/>
        <v>77.3900000000001</v>
      </c>
      <c r="N6" s="8">
        <v>1216.642</v>
      </c>
      <c r="O6" s="1">
        <v>15.9999999999998</v>
      </c>
      <c r="P6" s="1">
        <v>0.999999999999979</v>
      </c>
      <c r="Q6" s="1">
        <v>5.70000000000011</v>
      </c>
      <c r="R6" s="1">
        <v>0</v>
      </c>
      <c r="S6" s="1">
        <v>0</v>
      </c>
      <c r="T6" s="1">
        <v>9</v>
      </c>
      <c r="U6" s="1">
        <v>10.4</v>
      </c>
      <c r="V6" s="1">
        <v>4</v>
      </c>
      <c r="W6" s="1">
        <v>11.9</v>
      </c>
      <c r="X6" s="1">
        <v>11.9999999999998</v>
      </c>
      <c r="Y6" s="1">
        <v>0</v>
      </c>
      <c r="Z6" s="1">
        <v>2.0000000000003</v>
      </c>
      <c r="AA6" s="1">
        <v>72</v>
      </c>
      <c r="AB6" s="1">
        <v>2.69999999999996</v>
      </c>
      <c r="AC6" s="1">
        <v>7.39999999999991</v>
      </c>
      <c r="AD6" s="1">
        <v>0</v>
      </c>
      <c r="AE6" s="1">
        <v>11.9999999999999</v>
      </c>
      <c r="AF6" s="1">
        <v>47.9</v>
      </c>
      <c r="AG6" s="1">
        <v>2.0000000000003</v>
      </c>
      <c r="AH6" s="5">
        <v>7</v>
      </c>
    </row>
    <row r="7" spans="1:34">
      <c r="A7" s="1">
        <v>6</v>
      </c>
      <c r="B7" s="1">
        <v>56.197</v>
      </c>
      <c r="C7" s="1">
        <v>90.732</v>
      </c>
      <c r="D7" s="1">
        <v>104.549</v>
      </c>
      <c r="E7" s="1">
        <v>78.959</v>
      </c>
      <c r="F7" s="1">
        <v>0</v>
      </c>
      <c r="G7" s="1">
        <v>228.963</v>
      </c>
      <c r="H7" s="1">
        <v>317.828</v>
      </c>
      <c r="I7" s="1">
        <v>65.185</v>
      </c>
      <c r="J7" s="6">
        <v>300.4</v>
      </c>
      <c r="K7" s="1">
        <v>53.925</v>
      </c>
      <c r="L7" s="1">
        <v>68.897</v>
      </c>
      <c r="M7" s="1">
        <f t="shared" si="0"/>
        <v>49.992</v>
      </c>
      <c r="N7" s="8">
        <v>1415.627</v>
      </c>
      <c r="O7" s="1">
        <v>0</v>
      </c>
      <c r="P7" s="1">
        <v>3</v>
      </c>
      <c r="Q7" s="1">
        <v>0.4</v>
      </c>
      <c r="R7" s="1">
        <v>0.999999999999979</v>
      </c>
      <c r="S7" s="1">
        <v>0</v>
      </c>
      <c r="T7" s="1">
        <v>8.80000000000016</v>
      </c>
      <c r="U7" s="1">
        <v>14.8</v>
      </c>
      <c r="V7" s="1">
        <v>0</v>
      </c>
      <c r="W7" s="1">
        <v>13</v>
      </c>
      <c r="X7" s="1">
        <v>3.00000000000014</v>
      </c>
      <c r="Y7" s="1">
        <v>3</v>
      </c>
      <c r="Z7" s="1">
        <v>2.9999999999998</v>
      </c>
      <c r="AA7" s="1">
        <v>50.0000000000001</v>
      </c>
      <c r="AB7" s="1">
        <v>2.39999999999998</v>
      </c>
      <c r="AC7" s="1">
        <v>10.6</v>
      </c>
      <c r="AD7" s="1">
        <v>2</v>
      </c>
      <c r="AE7" s="1">
        <v>0</v>
      </c>
      <c r="AF7" s="1">
        <v>32.0000000000002</v>
      </c>
      <c r="AG7" s="1">
        <v>2.9999999999998</v>
      </c>
      <c r="AH7" s="5">
        <v>7</v>
      </c>
    </row>
    <row r="8" spans="1:34">
      <c r="A8" s="1">
        <v>7</v>
      </c>
      <c r="B8" s="1">
        <v>81.343</v>
      </c>
      <c r="C8" s="1">
        <v>86.801</v>
      </c>
      <c r="D8" s="1">
        <v>60.742</v>
      </c>
      <c r="E8" s="1">
        <v>46.587</v>
      </c>
      <c r="F8" s="1">
        <v>0</v>
      </c>
      <c r="G8" s="6">
        <v>215.64</v>
      </c>
      <c r="H8" s="1">
        <v>213.465</v>
      </c>
      <c r="I8" s="1">
        <v>56.217</v>
      </c>
      <c r="J8" s="1">
        <v>384.356</v>
      </c>
      <c r="K8" s="1">
        <v>63.284</v>
      </c>
      <c r="L8" s="1">
        <v>0</v>
      </c>
      <c r="M8" s="1">
        <f t="shared" si="0"/>
        <v>58.854</v>
      </c>
      <c r="N8" s="8">
        <v>1267.289</v>
      </c>
      <c r="O8" s="1">
        <v>4.99999999999996</v>
      </c>
      <c r="P8" s="1">
        <v>7.80000000000003</v>
      </c>
      <c r="Q8" s="1">
        <v>7.20000000000005</v>
      </c>
      <c r="R8" s="1">
        <v>1.00000000000016</v>
      </c>
      <c r="S8" s="1">
        <v>0</v>
      </c>
      <c r="T8" s="1">
        <v>15</v>
      </c>
      <c r="U8" s="1">
        <v>13</v>
      </c>
      <c r="V8" s="1">
        <v>0.999999999999979</v>
      </c>
      <c r="W8" s="1">
        <v>18.0000000000001</v>
      </c>
      <c r="X8" s="1">
        <v>4.0000000000001</v>
      </c>
      <c r="Y8" s="1">
        <v>0</v>
      </c>
      <c r="Z8" s="1">
        <v>1.9999999999996</v>
      </c>
      <c r="AA8" s="1">
        <v>74</v>
      </c>
      <c r="AB8" s="1">
        <v>1.70000000000016</v>
      </c>
      <c r="AC8" s="1">
        <v>13.2000000000001</v>
      </c>
      <c r="AD8" s="1">
        <v>0.4</v>
      </c>
      <c r="AE8" s="1">
        <v>8.99999999999987</v>
      </c>
      <c r="AF8" s="1">
        <v>47.7000000000001</v>
      </c>
      <c r="AG8" s="1">
        <v>1.9999999999997</v>
      </c>
      <c r="AH8" s="5">
        <v>5</v>
      </c>
    </row>
    <row r="9" spans="1:34">
      <c r="A9" s="1">
        <v>8</v>
      </c>
      <c r="B9" s="1">
        <v>58.992</v>
      </c>
      <c r="C9" s="6">
        <v>102.43</v>
      </c>
      <c r="D9" s="1">
        <v>145.776</v>
      </c>
      <c r="E9" s="1">
        <v>82.228</v>
      </c>
      <c r="F9" s="1">
        <v>37.966</v>
      </c>
      <c r="G9" s="1">
        <v>202.068</v>
      </c>
      <c r="H9" s="1">
        <v>199.955</v>
      </c>
      <c r="I9" s="1">
        <v>60.934</v>
      </c>
      <c r="J9" s="1">
        <v>298.386</v>
      </c>
      <c r="K9" s="6">
        <v>56.13</v>
      </c>
      <c r="L9" s="1">
        <v>0</v>
      </c>
      <c r="M9" s="1">
        <f t="shared" si="0"/>
        <v>84.2229999999997</v>
      </c>
      <c r="N9" s="8">
        <v>1329.088</v>
      </c>
      <c r="O9" s="1">
        <v>1</v>
      </c>
      <c r="P9" s="1">
        <v>2.99999999999994</v>
      </c>
      <c r="Q9" s="1">
        <v>7.00000000000012</v>
      </c>
      <c r="R9" s="1">
        <v>2.99999999999994</v>
      </c>
      <c r="S9" s="1">
        <v>1</v>
      </c>
      <c r="T9" s="1">
        <v>11</v>
      </c>
      <c r="U9" s="1">
        <v>7.00000000000008</v>
      </c>
      <c r="V9" s="1">
        <v>0.999999999999979</v>
      </c>
      <c r="W9" s="1">
        <v>10.0000000000001</v>
      </c>
      <c r="X9" s="1">
        <v>1.99999999999998</v>
      </c>
      <c r="Y9" s="1">
        <v>0</v>
      </c>
      <c r="Z9" s="1">
        <v>2.9999999999999</v>
      </c>
      <c r="AA9" s="1">
        <v>49</v>
      </c>
      <c r="AB9" s="1">
        <v>1.29999999999998</v>
      </c>
      <c r="AC9" s="1">
        <v>14.4</v>
      </c>
      <c r="AD9" s="1">
        <v>3.9</v>
      </c>
      <c r="AE9" s="1">
        <v>3.00000000000012</v>
      </c>
      <c r="AF9" s="1">
        <v>23.4</v>
      </c>
      <c r="AG9" s="1">
        <v>2.9999999999999</v>
      </c>
      <c r="AH9" s="5">
        <v>7</v>
      </c>
    </row>
    <row r="10" spans="1:34">
      <c r="A10" s="1">
        <v>9</v>
      </c>
      <c r="B10" s="1">
        <v>66.124</v>
      </c>
      <c r="C10" s="1">
        <v>63.994</v>
      </c>
      <c r="D10" s="1">
        <v>181.562</v>
      </c>
      <c r="E10" s="6">
        <v>57.909</v>
      </c>
      <c r="F10" s="1">
        <v>0</v>
      </c>
      <c r="G10" s="1">
        <v>269.543</v>
      </c>
      <c r="H10" s="1">
        <v>195.338</v>
      </c>
      <c r="I10" s="1">
        <v>66.522</v>
      </c>
      <c r="J10" s="1">
        <v>271.126</v>
      </c>
      <c r="K10" s="1">
        <v>47.801</v>
      </c>
      <c r="L10" s="1">
        <v>69.106</v>
      </c>
      <c r="M10" s="1">
        <f t="shared" si="0"/>
        <v>48.7540000000001</v>
      </c>
      <c r="N10" s="8">
        <v>1337.779</v>
      </c>
      <c r="O10" s="1">
        <v>0</v>
      </c>
      <c r="P10" s="1">
        <v>3.20000000000011</v>
      </c>
      <c r="Q10" s="1">
        <v>2.8</v>
      </c>
      <c r="R10" s="1">
        <v>2</v>
      </c>
      <c r="S10" s="1">
        <v>0</v>
      </c>
      <c r="T10" s="1">
        <v>13</v>
      </c>
      <c r="U10" s="1">
        <v>13</v>
      </c>
      <c r="V10" s="1">
        <v>6</v>
      </c>
      <c r="W10" s="1">
        <v>12.0000000000001</v>
      </c>
      <c r="X10" s="1">
        <v>0.999999999999979</v>
      </c>
      <c r="Y10" s="1">
        <v>9.00000000000007</v>
      </c>
      <c r="Z10" s="1">
        <v>3.9999999999997</v>
      </c>
      <c r="AA10" s="1">
        <v>66</v>
      </c>
      <c r="AB10" s="1">
        <v>7.30000000000028</v>
      </c>
      <c r="AC10" s="1">
        <v>3.99999999999996</v>
      </c>
      <c r="AD10" s="1">
        <v>4.00000000000009</v>
      </c>
      <c r="AE10" s="1">
        <v>6</v>
      </c>
      <c r="AF10" s="1">
        <v>35.6999999999999</v>
      </c>
      <c r="AG10" s="1">
        <v>8.99999999999977</v>
      </c>
      <c r="AH10" s="5">
        <v>6</v>
      </c>
    </row>
    <row r="11" spans="1:34">
      <c r="A11" s="1">
        <v>10</v>
      </c>
      <c r="B11" s="6">
        <v>63.44</v>
      </c>
      <c r="C11" s="6">
        <v>60.58</v>
      </c>
      <c r="D11" s="1">
        <v>120.526</v>
      </c>
      <c r="E11" s="1">
        <v>26.383</v>
      </c>
      <c r="F11" s="1">
        <v>40.693</v>
      </c>
      <c r="G11" s="1">
        <v>0</v>
      </c>
      <c r="H11" s="1">
        <v>144.456</v>
      </c>
      <c r="I11" s="1">
        <v>0</v>
      </c>
      <c r="J11" s="1">
        <v>0</v>
      </c>
      <c r="K11" s="1">
        <v>0</v>
      </c>
      <c r="L11" s="1">
        <v>0</v>
      </c>
      <c r="M11" s="1">
        <f t="shared" si="0"/>
        <v>71.9780000000001</v>
      </c>
      <c r="N11" s="8">
        <v>528.056</v>
      </c>
      <c r="O11" s="1">
        <v>1.99999999999996</v>
      </c>
      <c r="P11" s="1">
        <v>5.99999999999988</v>
      </c>
      <c r="Q11" s="1">
        <v>10.0000000000001</v>
      </c>
      <c r="R11" s="1">
        <v>5.00000000000007</v>
      </c>
      <c r="S11" s="1">
        <v>4</v>
      </c>
      <c r="T11" s="1">
        <v>0</v>
      </c>
      <c r="U11" s="1">
        <v>5.99999999999988</v>
      </c>
      <c r="V11" s="1">
        <v>0</v>
      </c>
      <c r="W11" s="1">
        <v>0</v>
      </c>
      <c r="X11" s="1">
        <v>0</v>
      </c>
      <c r="Y11" s="1">
        <v>0</v>
      </c>
      <c r="Z11" s="1">
        <v>2.0000000000001</v>
      </c>
      <c r="AA11" s="1">
        <v>35</v>
      </c>
      <c r="AB11" s="1">
        <v>0</v>
      </c>
      <c r="AC11" s="1">
        <v>0</v>
      </c>
      <c r="AD11" s="1">
        <v>5.00000000000007</v>
      </c>
      <c r="AE11" s="1">
        <v>7</v>
      </c>
      <c r="AF11" s="1">
        <v>20.9999999999998</v>
      </c>
      <c r="AG11" s="1">
        <v>2.0000000000001</v>
      </c>
      <c r="AH11" s="5">
        <v>6</v>
      </c>
    </row>
    <row r="12" spans="1:34">
      <c r="A12" s="1">
        <v>11</v>
      </c>
      <c r="B12" s="1">
        <v>81.724</v>
      </c>
      <c r="C12" s="1">
        <v>61.225</v>
      </c>
      <c r="D12" s="1">
        <v>193.585</v>
      </c>
      <c r="E12" s="1">
        <v>55.399</v>
      </c>
      <c r="F12" s="1">
        <v>0</v>
      </c>
      <c r="G12" s="1">
        <v>238.549</v>
      </c>
      <c r="H12" s="1">
        <v>244.839</v>
      </c>
      <c r="I12" s="1">
        <v>87.032</v>
      </c>
      <c r="J12" s="1">
        <v>240.051</v>
      </c>
      <c r="K12" s="1">
        <v>77.066</v>
      </c>
      <c r="L12" s="1">
        <v>0</v>
      </c>
      <c r="M12" s="1">
        <f t="shared" si="0"/>
        <v>37.2850000000001</v>
      </c>
      <c r="N12" s="8">
        <v>1316.755</v>
      </c>
      <c r="O12" s="1">
        <v>2.99999999999994</v>
      </c>
      <c r="P12" s="1">
        <v>5.00000000000007</v>
      </c>
      <c r="Q12" s="1">
        <v>2.99999999999996</v>
      </c>
      <c r="R12" s="1">
        <v>4.00000000000009</v>
      </c>
      <c r="S12" s="1">
        <v>0</v>
      </c>
      <c r="T12" s="1">
        <v>20.9999999999999</v>
      </c>
      <c r="U12" s="1">
        <v>27</v>
      </c>
      <c r="V12" s="1">
        <v>7.40000000000003</v>
      </c>
      <c r="W12" s="1">
        <v>15.6000000000001</v>
      </c>
      <c r="X12" s="1">
        <v>1.99999999999996</v>
      </c>
      <c r="Y12" s="1">
        <v>0</v>
      </c>
      <c r="Z12" s="1">
        <v>3.9999999999999</v>
      </c>
      <c r="AA12" s="1">
        <v>91.9999999999999</v>
      </c>
      <c r="AB12" s="1">
        <v>9.69999999999999</v>
      </c>
      <c r="AC12" s="1">
        <v>0</v>
      </c>
      <c r="AD12" s="1">
        <v>3.00000000000011</v>
      </c>
      <c r="AE12" s="1">
        <v>7.00000000000003</v>
      </c>
      <c r="AF12" s="1">
        <v>68.3</v>
      </c>
      <c r="AG12" s="1">
        <v>3.9999999999999</v>
      </c>
      <c r="AH12" s="5">
        <v>6</v>
      </c>
    </row>
    <row r="13" spans="1:34">
      <c r="A13" s="1">
        <v>12</v>
      </c>
      <c r="B13" s="1">
        <v>94.692</v>
      </c>
      <c r="C13" s="1">
        <v>60.114</v>
      </c>
      <c r="D13" s="1">
        <v>62.087</v>
      </c>
      <c r="E13" s="1">
        <v>48.697</v>
      </c>
      <c r="F13" s="1">
        <v>0</v>
      </c>
      <c r="G13" s="1">
        <v>165.985</v>
      </c>
      <c r="H13" s="1">
        <v>160.274</v>
      </c>
      <c r="I13" s="1">
        <v>84.643</v>
      </c>
      <c r="J13" s="1">
        <v>239.937</v>
      </c>
      <c r="K13" s="1">
        <v>59.748</v>
      </c>
      <c r="L13" s="1">
        <v>64.102</v>
      </c>
      <c r="M13" s="1">
        <f t="shared" si="0"/>
        <v>36.8320000000001</v>
      </c>
      <c r="N13" s="8">
        <v>1077.111</v>
      </c>
      <c r="O13" s="1">
        <v>0.999999999999979</v>
      </c>
      <c r="P13" s="1">
        <v>2.99999999999994</v>
      </c>
      <c r="Q13" s="1">
        <v>1</v>
      </c>
      <c r="R13" s="1">
        <v>0.999999999999979</v>
      </c>
      <c r="S13" s="1">
        <v>0</v>
      </c>
      <c r="T13" s="1">
        <v>20.9999999999999</v>
      </c>
      <c r="U13" s="1">
        <v>20</v>
      </c>
      <c r="V13" s="1">
        <v>8.00000000000005</v>
      </c>
      <c r="W13" s="1">
        <v>16</v>
      </c>
      <c r="X13" s="1">
        <v>4.99999999999994</v>
      </c>
      <c r="Y13" s="1">
        <v>4.99999999999994</v>
      </c>
      <c r="Z13" s="1">
        <v>7.0000000000002</v>
      </c>
      <c r="AA13" s="1">
        <v>87.9999999999999</v>
      </c>
      <c r="AB13" s="1">
        <v>1.2</v>
      </c>
      <c r="AC13" s="1">
        <v>19.4999999999998</v>
      </c>
      <c r="AD13" s="1">
        <v>0</v>
      </c>
      <c r="AE13" s="1">
        <v>0</v>
      </c>
      <c r="AF13" s="1">
        <v>59.2999999999998</v>
      </c>
      <c r="AG13" s="1">
        <v>8.00000000000028</v>
      </c>
      <c r="AH13" s="5">
        <v>6</v>
      </c>
    </row>
    <row r="14" spans="1:34">
      <c r="A14" s="1">
        <v>13</v>
      </c>
      <c r="B14" s="1">
        <v>56.681</v>
      </c>
      <c r="C14" s="1">
        <v>62.607</v>
      </c>
      <c r="D14" s="1">
        <v>113.052</v>
      </c>
      <c r="E14" s="6">
        <v>45.12</v>
      </c>
      <c r="F14" s="1">
        <v>0</v>
      </c>
      <c r="G14" s="1">
        <v>158.261</v>
      </c>
      <c r="H14" s="1">
        <v>194.469</v>
      </c>
      <c r="I14" s="1">
        <v>90.056</v>
      </c>
      <c r="J14" s="1">
        <v>239.027</v>
      </c>
      <c r="K14" s="6">
        <v>157.15</v>
      </c>
      <c r="L14" s="1">
        <v>67.269</v>
      </c>
      <c r="M14" s="1">
        <f t="shared" si="0"/>
        <v>56.5239999999997</v>
      </c>
      <c r="N14" s="8">
        <v>1240.216</v>
      </c>
      <c r="O14" s="1">
        <v>6</v>
      </c>
      <c r="P14" s="1">
        <v>7.00000000000006</v>
      </c>
      <c r="Q14" s="1">
        <v>5.1999999999999</v>
      </c>
      <c r="R14" s="1">
        <v>0</v>
      </c>
      <c r="S14" s="1">
        <v>0</v>
      </c>
      <c r="T14" s="1">
        <v>7.99999999999985</v>
      </c>
      <c r="U14" s="1">
        <v>6.79999999999996</v>
      </c>
      <c r="V14" s="1">
        <v>0</v>
      </c>
      <c r="W14" s="1">
        <v>13.0000000000001</v>
      </c>
      <c r="X14" s="1">
        <v>2.99999999999996</v>
      </c>
      <c r="Y14" s="1">
        <v>4.00000000000009</v>
      </c>
      <c r="Z14" s="1">
        <v>4.0000000000001</v>
      </c>
      <c r="AA14" s="1">
        <v>57</v>
      </c>
      <c r="AB14" s="1">
        <v>5.59999999999992</v>
      </c>
      <c r="AC14" s="1">
        <v>4.29999999999994</v>
      </c>
      <c r="AD14" s="1">
        <v>0</v>
      </c>
      <c r="AE14" s="1">
        <v>19</v>
      </c>
      <c r="AF14" s="1">
        <v>24.1000000000002</v>
      </c>
      <c r="AG14" s="1">
        <v>4</v>
      </c>
      <c r="AH14" s="5">
        <v>6</v>
      </c>
    </row>
    <row r="15" spans="1:34">
      <c r="A15" s="1">
        <v>14</v>
      </c>
      <c r="B15" s="1">
        <v>49.225</v>
      </c>
      <c r="C15" s="1">
        <v>62.291</v>
      </c>
      <c r="D15" s="1">
        <v>58.665</v>
      </c>
      <c r="E15" s="1">
        <v>0</v>
      </c>
      <c r="F15" s="1">
        <v>29.841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f t="shared" si="0"/>
        <v>60.882</v>
      </c>
      <c r="N15" s="8">
        <v>260.904</v>
      </c>
      <c r="O15" s="1">
        <v>6.00000000000005</v>
      </c>
      <c r="P15" s="1">
        <v>10</v>
      </c>
      <c r="Q15" s="1">
        <v>6.00000000000005</v>
      </c>
      <c r="R15" s="1">
        <v>0</v>
      </c>
      <c r="S15" s="1">
        <v>7.00000000000003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1.9999999999999</v>
      </c>
      <c r="AA15" s="1">
        <v>31</v>
      </c>
      <c r="AB15" s="1">
        <v>0.2</v>
      </c>
      <c r="AC15" s="1">
        <v>0</v>
      </c>
      <c r="AD15" s="1">
        <v>3.99999999999991</v>
      </c>
      <c r="AE15" s="1">
        <v>12.0000000000001</v>
      </c>
      <c r="AF15" s="1">
        <v>12.8000000000001</v>
      </c>
      <c r="AG15" s="1">
        <v>1.9999999999999</v>
      </c>
      <c r="AH15" s="5">
        <v>7</v>
      </c>
    </row>
    <row r="16" spans="1:34">
      <c r="A16" s="1">
        <v>15</v>
      </c>
      <c r="B16" s="1">
        <v>72.083</v>
      </c>
      <c r="C16" s="1">
        <v>64.231</v>
      </c>
      <c r="D16" s="1">
        <v>65.423</v>
      </c>
      <c r="E16" s="6">
        <v>48.579</v>
      </c>
      <c r="F16" s="1">
        <v>0</v>
      </c>
      <c r="G16" s="1">
        <v>223.413</v>
      </c>
      <c r="H16" s="1">
        <v>230.262</v>
      </c>
      <c r="I16" s="1">
        <v>63.084</v>
      </c>
      <c r="J16" s="1">
        <v>318.008</v>
      </c>
      <c r="K16" s="1">
        <v>68.413</v>
      </c>
      <c r="L16" s="1">
        <v>0</v>
      </c>
      <c r="M16" s="1">
        <f t="shared" si="0"/>
        <v>64.5929999999998</v>
      </c>
      <c r="N16" s="8">
        <v>1218.089</v>
      </c>
      <c r="O16" s="1">
        <v>1.99999999999996</v>
      </c>
      <c r="P16" s="1">
        <v>1.99999999999998</v>
      </c>
      <c r="Q16" s="1">
        <v>2</v>
      </c>
      <c r="R16" s="1">
        <v>0.5</v>
      </c>
      <c r="S16" s="1">
        <v>0</v>
      </c>
      <c r="T16" s="1">
        <v>14</v>
      </c>
      <c r="U16" s="1">
        <v>13.5</v>
      </c>
      <c r="V16" s="1">
        <v>8.20000000000001</v>
      </c>
      <c r="W16" s="1">
        <v>17.0000000000002</v>
      </c>
      <c r="X16" s="1">
        <v>1.79999999999998</v>
      </c>
      <c r="Y16" s="1">
        <v>0</v>
      </c>
      <c r="Z16" s="1">
        <v>2.9999999999998</v>
      </c>
      <c r="AA16" s="1">
        <v>63.9999999999999</v>
      </c>
      <c r="AB16" s="1">
        <v>3.29999999999998</v>
      </c>
      <c r="AC16" s="1">
        <v>16.9000000000001</v>
      </c>
      <c r="AD16" s="1">
        <v>2.19999999999996</v>
      </c>
      <c r="AE16" s="1">
        <v>5.00000000000007</v>
      </c>
      <c r="AF16" s="1">
        <v>33.6000000000001</v>
      </c>
      <c r="AG16" s="1">
        <v>2.9999999999998</v>
      </c>
      <c r="AH16" s="5">
        <v>5</v>
      </c>
    </row>
    <row r="17" spans="1:34">
      <c r="A17" s="1">
        <v>16</v>
      </c>
      <c r="B17" s="1">
        <v>78.977</v>
      </c>
      <c r="C17" s="1">
        <v>63.391</v>
      </c>
      <c r="D17" s="6">
        <v>127.9</v>
      </c>
      <c r="E17" s="1">
        <v>58.111</v>
      </c>
      <c r="F17" s="1">
        <v>0</v>
      </c>
      <c r="G17" s="1">
        <v>279.518</v>
      </c>
      <c r="H17" s="1">
        <v>247.563</v>
      </c>
      <c r="I17" s="6">
        <v>60.4</v>
      </c>
      <c r="J17" s="6">
        <v>286.38</v>
      </c>
      <c r="K17" s="1">
        <v>73.351</v>
      </c>
      <c r="L17" s="1">
        <v>0</v>
      </c>
      <c r="M17" s="1">
        <f t="shared" si="0"/>
        <v>44.5510000000002</v>
      </c>
      <c r="N17" s="8">
        <v>1320.142</v>
      </c>
      <c r="O17" s="1">
        <v>0.999999999999979</v>
      </c>
      <c r="P17" s="1">
        <v>1</v>
      </c>
      <c r="Q17" s="1">
        <v>2.99999999999998</v>
      </c>
      <c r="R17" s="1">
        <v>0.999999999999979</v>
      </c>
      <c r="S17" s="1">
        <v>0</v>
      </c>
      <c r="T17" s="1">
        <v>9.00000000000008</v>
      </c>
      <c r="U17" s="1">
        <v>6.9999999999999</v>
      </c>
      <c r="V17" s="1">
        <v>2.50000000000014</v>
      </c>
      <c r="W17" s="1">
        <v>9.00000000000001</v>
      </c>
      <c r="X17" s="1">
        <v>2.49999999999998</v>
      </c>
      <c r="Y17" s="1">
        <v>0</v>
      </c>
      <c r="Z17" s="1">
        <v>2.0000000000001</v>
      </c>
      <c r="AA17" s="1">
        <v>38.0000000000001</v>
      </c>
      <c r="AB17" s="1">
        <v>3.79999999999996</v>
      </c>
      <c r="AC17" s="1">
        <v>10.2000000000001</v>
      </c>
      <c r="AD17" s="1">
        <v>0</v>
      </c>
      <c r="AE17" s="1">
        <v>4.00000000000009</v>
      </c>
      <c r="AF17" s="1">
        <v>17</v>
      </c>
      <c r="AG17" s="1">
        <v>2.99999999999998</v>
      </c>
      <c r="AH17" s="5">
        <v>4</v>
      </c>
    </row>
    <row r="18" spans="1:34">
      <c r="A18" s="1">
        <v>17</v>
      </c>
      <c r="B18" s="1">
        <v>59.599</v>
      </c>
      <c r="C18" s="6">
        <v>59.38</v>
      </c>
      <c r="D18" s="1">
        <v>78.389</v>
      </c>
      <c r="E18" s="1">
        <v>45.075</v>
      </c>
      <c r="F18" s="1">
        <v>0</v>
      </c>
      <c r="G18" s="1">
        <v>191.491</v>
      </c>
      <c r="H18" s="1">
        <v>133.782</v>
      </c>
      <c r="I18" s="1">
        <v>82.773</v>
      </c>
      <c r="J18" s="1">
        <v>198.695</v>
      </c>
      <c r="K18" s="1">
        <v>59.903</v>
      </c>
      <c r="L18" s="1">
        <v>44.151</v>
      </c>
      <c r="M18" s="1">
        <f t="shared" si="0"/>
        <v>60.254</v>
      </c>
      <c r="N18" s="8">
        <v>1013.492</v>
      </c>
      <c r="O18" s="1">
        <v>3.00000000000016</v>
      </c>
      <c r="P18" s="1">
        <v>1.1</v>
      </c>
      <c r="Q18" s="1">
        <v>11.9</v>
      </c>
      <c r="R18" s="1">
        <v>1</v>
      </c>
      <c r="S18" s="1">
        <v>0</v>
      </c>
      <c r="T18" s="1">
        <v>7.99999999999986</v>
      </c>
      <c r="U18" s="1">
        <v>4.9999999999999</v>
      </c>
      <c r="V18" s="1">
        <v>1.99999999999996</v>
      </c>
      <c r="W18" s="1">
        <v>18</v>
      </c>
      <c r="X18" s="1">
        <v>2.99999999999994</v>
      </c>
      <c r="Y18" s="1">
        <v>0</v>
      </c>
      <c r="Z18" s="1">
        <v>4.0000000000003</v>
      </c>
      <c r="AA18" s="1">
        <v>57.0000000000001</v>
      </c>
      <c r="AB18" s="1">
        <v>10.6</v>
      </c>
      <c r="AC18" s="1">
        <v>6.49999999999994</v>
      </c>
      <c r="AD18" s="1">
        <v>1.00000000000016</v>
      </c>
      <c r="AE18" s="1">
        <v>22</v>
      </c>
      <c r="AF18" s="1">
        <v>11.8999999999998</v>
      </c>
      <c r="AG18" s="1">
        <v>5.00000000000018</v>
      </c>
      <c r="AH18" s="5">
        <v>5</v>
      </c>
    </row>
    <row r="19" spans="1:34">
      <c r="A19" s="1">
        <v>18</v>
      </c>
      <c r="B19" s="6">
        <v>52.09</v>
      </c>
      <c r="C19" s="1">
        <v>55.383</v>
      </c>
      <c r="D19" s="1">
        <v>59.005</v>
      </c>
      <c r="E19" s="1">
        <v>45.493</v>
      </c>
      <c r="F19" s="1">
        <v>0</v>
      </c>
      <c r="G19" s="1">
        <v>177.281</v>
      </c>
      <c r="H19" s="1">
        <v>140.886</v>
      </c>
      <c r="I19" s="1">
        <v>0</v>
      </c>
      <c r="J19" s="1">
        <v>0</v>
      </c>
      <c r="K19" s="1">
        <v>0</v>
      </c>
      <c r="L19" s="1">
        <v>0</v>
      </c>
      <c r="M19" s="1">
        <f t="shared" si="0"/>
        <v>36.7959999999999</v>
      </c>
      <c r="N19" s="8">
        <v>566.934</v>
      </c>
      <c r="O19" s="1">
        <v>2.00000000000014</v>
      </c>
      <c r="P19" s="1">
        <v>3.99999999999996</v>
      </c>
      <c r="Q19" s="1">
        <v>8.00000000000001</v>
      </c>
      <c r="R19" s="1">
        <v>1.99999999999996</v>
      </c>
      <c r="S19" s="1">
        <v>0</v>
      </c>
      <c r="T19" s="1">
        <v>4.00000000000012</v>
      </c>
      <c r="U19" s="1">
        <v>3.99999999999992</v>
      </c>
      <c r="V19" s="1">
        <v>0</v>
      </c>
      <c r="W19" s="1">
        <v>0</v>
      </c>
      <c r="X19" s="1">
        <v>0</v>
      </c>
      <c r="Y19" s="1">
        <v>0</v>
      </c>
      <c r="Z19" s="1">
        <v>0.999999999999901</v>
      </c>
      <c r="AA19" s="1">
        <v>25</v>
      </c>
      <c r="AB19" s="1">
        <v>5.2</v>
      </c>
      <c r="AC19" s="1">
        <v>3</v>
      </c>
      <c r="AD19" s="1">
        <v>2.00000000000014</v>
      </c>
      <c r="AE19" s="1">
        <v>7.00000000000003</v>
      </c>
      <c r="AF19" s="1">
        <v>5.8</v>
      </c>
      <c r="AG19" s="1">
        <v>1.99999999999988</v>
      </c>
      <c r="AH19" s="5">
        <v>7</v>
      </c>
    </row>
    <row r="20" spans="1:34">
      <c r="A20" s="1">
        <v>19</v>
      </c>
      <c r="B20" s="1">
        <v>51.023</v>
      </c>
      <c r="C20" s="1">
        <v>114.478</v>
      </c>
      <c r="D20" s="6">
        <v>133.13</v>
      </c>
      <c r="E20" s="1">
        <v>45.188</v>
      </c>
      <c r="F20" s="1">
        <v>0</v>
      </c>
      <c r="G20" s="1">
        <v>145.113</v>
      </c>
      <c r="H20" s="1">
        <v>164.399</v>
      </c>
      <c r="I20" s="1">
        <v>0</v>
      </c>
      <c r="J20" s="1">
        <v>0</v>
      </c>
      <c r="K20" s="1">
        <v>0</v>
      </c>
      <c r="L20" s="1">
        <v>0</v>
      </c>
      <c r="M20" s="1">
        <f t="shared" si="0"/>
        <v>62.1060000000001</v>
      </c>
      <c r="N20" s="8">
        <v>715.437</v>
      </c>
      <c r="O20" s="1">
        <v>0.1</v>
      </c>
      <c r="P20" s="1">
        <v>4.89999999999994</v>
      </c>
      <c r="Q20" s="1">
        <v>8.00000000000002</v>
      </c>
      <c r="R20" s="1">
        <v>0.2</v>
      </c>
      <c r="S20" s="1">
        <v>0</v>
      </c>
      <c r="T20" s="1">
        <v>11</v>
      </c>
      <c r="U20" s="1">
        <v>11.8000000000002</v>
      </c>
      <c r="V20" s="1">
        <v>0</v>
      </c>
      <c r="W20" s="1">
        <v>0</v>
      </c>
      <c r="X20" s="1">
        <v>0</v>
      </c>
      <c r="Y20" s="1">
        <v>0</v>
      </c>
      <c r="Z20" s="1">
        <v>1.9999999999999</v>
      </c>
      <c r="AA20" s="1">
        <v>38.0000000000001</v>
      </c>
      <c r="AB20" s="1">
        <v>4.09999999999992</v>
      </c>
      <c r="AC20" s="1">
        <v>8.80000000000019</v>
      </c>
      <c r="AD20" s="1">
        <v>0</v>
      </c>
      <c r="AE20" s="1">
        <v>0</v>
      </c>
      <c r="AF20" s="1">
        <v>21.1</v>
      </c>
      <c r="AG20" s="1">
        <v>3.9999999999999</v>
      </c>
      <c r="AH20" s="5">
        <v>7</v>
      </c>
    </row>
    <row r="21" spans="1:34">
      <c r="A21" s="1">
        <v>20</v>
      </c>
      <c r="B21" s="1">
        <v>51.163</v>
      </c>
      <c r="C21" s="1">
        <v>63.592</v>
      </c>
      <c r="D21" s="1">
        <v>112.173</v>
      </c>
      <c r="E21" s="1">
        <v>72.034</v>
      </c>
      <c r="F21" s="1">
        <v>62.792</v>
      </c>
      <c r="G21" s="6">
        <v>14.48</v>
      </c>
      <c r="H21" s="1">
        <v>21.991</v>
      </c>
      <c r="I21" s="1">
        <v>0</v>
      </c>
      <c r="J21" s="1">
        <v>0</v>
      </c>
      <c r="K21" s="1">
        <v>0</v>
      </c>
      <c r="L21" s="1">
        <v>0</v>
      </c>
      <c r="M21" s="1">
        <f t="shared" si="0"/>
        <v>72.421</v>
      </c>
      <c r="N21" s="8">
        <v>470.646</v>
      </c>
      <c r="O21" s="1">
        <v>0</v>
      </c>
      <c r="P21" s="1">
        <v>0.3</v>
      </c>
      <c r="Q21" s="1">
        <v>9.7000000000001</v>
      </c>
      <c r="R21" s="1">
        <v>4.99999999999998</v>
      </c>
      <c r="S21" s="1">
        <v>6</v>
      </c>
      <c r="T21" s="1">
        <v>0</v>
      </c>
      <c r="U21" s="1">
        <v>2.00000000000014</v>
      </c>
      <c r="V21" s="1">
        <v>0</v>
      </c>
      <c r="W21" s="1">
        <v>0</v>
      </c>
      <c r="X21" s="1">
        <v>0</v>
      </c>
      <c r="Y21" s="1">
        <v>0</v>
      </c>
      <c r="Z21" s="1">
        <v>0.999999999999702</v>
      </c>
      <c r="AA21" s="1">
        <v>23.9999999999999</v>
      </c>
      <c r="AB21" s="1">
        <v>2.09999999999996</v>
      </c>
      <c r="AC21" s="1">
        <v>1.89999999999998</v>
      </c>
      <c r="AD21" s="1">
        <v>2.5</v>
      </c>
      <c r="AE21" s="1">
        <v>3</v>
      </c>
      <c r="AF21" s="1">
        <v>7.5</v>
      </c>
      <c r="AG21" s="1">
        <v>7</v>
      </c>
      <c r="AH21" s="5">
        <v>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workbookViewId="0">
      <selection activeCell="N5" sqref="N5"/>
    </sheetView>
  </sheetViews>
  <sheetFormatPr defaultColWidth="9" defaultRowHeight="13.5"/>
  <cols>
    <col min="3" max="3" width="9.53097345132743"/>
    <col min="10" max="10" width="9.53097345132743"/>
    <col min="13" max="13" width="9.49557522123894" customWidth="1"/>
    <col min="14" max="14" width="16.1327433628319" customWidth="1"/>
  </cols>
  <sheetData>
    <row r="1" spans="1:14">
      <c r="A1" s="1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7" t="s">
        <v>22</v>
      </c>
    </row>
    <row r="2" spans="1:14">
      <c r="A2" s="1">
        <v>1</v>
      </c>
      <c r="B2" s="6">
        <v>66.18</v>
      </c>
      <c r="C2" s="1">
        <v>60.856</v>
      </c>
      <c r="D2" s="1">
        <v>127.335</v>
      </c>
      <c r="E2" s="1">
        <v>45.327</v>
      </c>
      <c r="F2" s="1">
        <v>0</v>
      </c>
      <c r="G2" s="1">
        <v>213.887</v>
      </c>
      <c r="H2" s="1">
        <v>159.635</v>
      </c>
      <c r="I2" s="1">
        <v>116.902</v>
      </c>
      <c r="J2" s="6">
        <v>357.72</v>
      </c>
      <c r="K2" s="1">
        <v>66.716</v>
      </c>
      <c r="L2" s="1">
        <v>72.005</v>
      </c>
      <c r="M2" s="1">
        <f t="shared" ref="M2:M21" si="0">N2-SUM(B2:L2)</f>
        <v>74.2669999999998</v>
      </c>
      <c r="N2" s="8">
        <v>1360.83</v>
      </c>
    </row>
    <row r="3" spans="1:14">
      <c r="A3" s="1">
        <v>2</v>
      </c>
      <c r="B3" s="1">
        <v>75.934</v>
      </c>
      <c r="C3" s="1">
        <v>69.934</v>
      </c>
      <c r="D3" s="1">
        <v>145.376</v>
      </c>
      <c r="E3" s="1">
        <v>121.792</v>
      </c>
      <c r="F3" s="1">
        <v>51.006</v>
      </c>
      <c r="G3" s="6">
        <v>338.1</v>
      </c>
      <c r="H3" s="1">
        <v>344.229</v>
      </c>
      <c r="I3" s="1">
        <v>118.983</v>
      </c>
      <c r="J3" s="1">
        <v>258.348</v>
      </c>
      <c r="K3" s="1">
        <v>61.709</v>
      </c>
      <c r="L3" s="1">
        <v>66.634</v>
      </c>
      <c r="M3" s="1">
        <f t="shared" si="0"/>
        <v>110.361</v>
      </c>
      <c r="N3" s="8">
        <v>1762.406</v>
      </c>
    </row>
    <row r="4" spans="1:14">
      <c r="A4" s="1">
        <v>3</v>
      </c>
      <c r="B4" s="1">
        <v>89.694</v>
      </c>
      <c r="C4" s="1">
        <v>59.002</v>
      </c>
      <c r="D4" s="1">
        <v>141.319</v>
      </c>
      <c r="E4" s="1">
        <v>56.433</v>
      </c>
      <c r="F4" s="1">
        <v>37.919</v>
      </c>
      <c r="G4" s="1">
        <v>197.189</v>
      </c>
      <c r="H4" s="1">
        <v>155.384</v>
      </c>
      <c r="I4" s="1">
        <v>27.188</v>
      </c>
      <c r="J4" s="1">
        <v>282.908</v>
      </c>
      <c r="K4" s="1">
        <v>52.936</v>
      </c>
      <c r="L4" s="1">
        <v>64.286</v>
      </c>
      <c r="M4" s="1">
        <f t="shared" si="0"/>
        <v>69.454</v>
      </c>
      <c r="N4" s="8">
        <v>1233.712</v>
      </c>
    </row>
    <row r="5" spans="1:14">
      <c r="A5" s="1">
        <v>4</v>
      </c>
      <c r="B5" s="1">
        <v>58.922</v>
      </c>
      <c r="C5" s="1">
        <v>84.999</v>
      </c>
      <c r="D5" s="1">
        <v>112.851</v>
      </c>
      <c r="E5" s="1">
        <v>84.773</v>
      </c>
      <c r="F5" s="1">
        <v>63.363</v>
      </c>
      <c r="G5" s="1">
        <v>259.229</v>
      </c>
      <c r="H5" s="1">
        <v>256.726</v>
      </c>
      <c r="I5" s="1">
        <v>0</v>
      </c>
      <c r="J5" s="1"/>
      <c r="K5" s="1">
        <v>0</v>
      </c>
      <c r="L5" s="1">
        <v>0</v>
      </c>
      <c r="M5" s="1">
        <f t="shared" si="0"/>
        <v>88.248</v>
      </c>
      <c r="N5" s="8">
        <v>1009.111</v>
      </c>
    </row>
    <row r="6" spans="1:14">
      <c r="A6" s="1">
        <v>5</v>
      </c>
      <c r="B6" s="1">
        <v>88.813</v>
      </c>
      <c r="C6" s="6">
        <v>66.33</v>
      </c>
      <c r="D6" s="6">
        <v>126.97</v>
      </c>
      <c r="E6" s="1">
        <v>45.016</v>
      </c>
      <c r="F6" s="1">
        <v>0</v>
      </c>
      <c r="G6" s="1">
        <v>191.061</v>
      </c>
      <c r="H6" s="6">
        <v>205</v>
      </c>
      <c r="I6" s="1">
        <v>58.501</v>
      </c>
      <c r="J6" s="6">
        <v>292.15</v>
      </c>
      <c r="K6" s="1">
        <v>65.411</v>
      </c>
      <c r="L6" s="1">
        <v>0</v>
      </c>
      <c r="M6" s="1">
        <f t="shared" si="0"/>
        <v>77.3900000000001</v>
      </c>
      <c r="N6" s="8">
        <v>1216.642</v>
      </c>
    </row>
    <row r="7" spans="1:14">
      <c r="A7" s="1">
        <v>6</v>
      </c>
      <c r="B7" s="1">
        <v>56.197</v>
      </c>
      <c r="C7" s="1">
        <v>90.732</v>
      </c>
      <c r="D7" s="1">
        <v>104.549</v>
      </c>
      <c r="E7" s="1">
        <v>78.959</v>
      </c>
      <c r="F7" s="1">
        <v>0</v>
      </c>
      <c r="G7" s="1">
        <v>228.963</v>
      </c>
      <c r="H7" s="1">
        <v>317.828</v>
      </c>
      <c r="I7" s="1">
        <v>65.185</v>
      </c>
      <c r="J7" s="6">
        <v>300.4</v>
      </c>
      <c r="K7" s="1">
        <v>53.925</v>
      </c>
      <c r="L7" s="1">
        <v>68.897</v>
      </c>
      <c r="M7" s="1">
        <f t="shared" si="0"/>
        <v>49.992</v>
      </c>
      <c r="N7" s="8">
        <v>1415.627</v>
      </c>
    </row>
    <row r="8" spans="1:14">
      <c r="A8" s="1">
        <v>7</v>
      </c>
      <c r="B8" s="1">
        <v>81.343</v>
      </c>
      <c r="C8" s="1">
        <v>86.801</v>
      </c>
      <c r="D8" s="1">
        <v>60.742</v>
      </c>
      <c r="E8" s="1">
        <v>46.587</v>
      </c>
      <c r="F8" s="1">
        <v>0</v>
      </c>
      <c r="G8" s="6">
        <v>215.64</v>
      </c>
      <c r="H8" s="1">
        <v>213.465</v>
      </c>
      <c r="I8" s="1">
        <v>56.217</v>
      </c>
      <c r="J8" s="1">
        <v>384.356</v>
      </c>
      <c r="K8" s="1">
        <v>63.284</v>
      </c>
      <c r="L8" s="1">
        <v>0</v>
      </c>
      <c r="M8" s="1">
        <f t="shared" si="0"/>
        <v>58.854</v>
      </c>
      <c r="N8" s="8">
        <v>1267.289</v>
      </c>
    </row>
    <row r="9" spans="1:14">
      <c r="A9" s="1">
        <v>8</v>
      </c>
      <c r="B9" s="1">
        <v>58.992</v>
      </c>
      <c r="C9" s="6">
        <v>102.43</v>
      </c>
      <c r="D9" s="1">
        <v>145.776</v>
      </c>
      <c r="E9" s="1">
        <v>82.228</v>
      </c>
      <c r="F9" s="1">
        <v>37.966</v>
      </c>
      <c r="G9" s="1">
        <v>202.068</v>
      </c>
      <c r="H9" s="1">
        <v>199.955</v>
      </c>
      <c r="I9" s="1">
        <v>60.934</v>
      </c>
      <c r="J9" s="1">
        <v>298.386</v>
      </c>
      <c r="K9" s="6">
        <v>56.13</v>
      </c>
      <c r="L9" s="1">
        <v>0</v>
      </c>
      <c r="M9" s="1">
        <f t="shared" si="0"/>
        <v>84.2229999999997</v>
      </c>
      <c r="N9" s="8">
        <v>1329.088</v>
      </c>
    </row>
    <row r="10" spans="1:14">
      <c r="A10" s="1">
        <v>9</v>
      </c>
      <c r="B10" s="1">
        <v>66.124</v>
      </c>
      <c r="C10" s="1">
        <v>63.994</v>
      </c>
      <c r="D10" s="1">
        <v>181.562</v>
      </c>
      <c r="E10" s="6">
        <v>57.909</v>
      </c>
      <c r="F10" s="1">
        <v>0</v>
      </c>
      <c r="G10" s="1">
        <v>269.543</v>
      </c>
      <c r="H10" s="1">
        <v>195.338</v>
      </c>
      <c r="I10" s="1">
        <v>66.522</v>
      </c>
      <c r="J10" s="1">
        <v>271.126</v>
      </c>
      <c r="K10" s="1">
        <v>47.801</v>
      </c>
      <c r="L10" s="1">
        <v>69.106</v>
      </c>
      <c r="M10" s="1">
        <f t="shared" si="0"/>
        <v>48.7540000000001</v>
      </c>
      <c r="N10" s="8">
        <v>1337.779</v>
      </c>
    </row>
    <row r="11" spans="1:14">
      <c r="A11" s="1">
        <v>10</v>
      </c>
      <c r="B11" s="6">
        <v>63.44</v>
      </c>
      <c r="C11" s="6">
        <v>60.58</v>
      </c>
      <c r="D11" s="1">
        <v>120.526</v>
      </c>
      <c r="E11" s="1">
        <v>26.383</v>
      </c>
      <c r="F11" s="1">
        <v>40.693</v>
      </c>
      <c r="G11" s="1">
        <v>0</v>
      </c>
      <c r="H11" s="1">
        <v>144.456</v>
      </c>
      <c r="I11" s="1">
        <v>0</v>
      </c>
      <c r="J11" s="1"/>
      <c r="K11" s="1">
        <v>0</v>
      </c>
      <c r="L11" s="1">
        <v>0</v>
      </c>
      <c r="M11" s="1">
        <f t="shared" si="0"/>
        <v>71.9780000000001</v>
      </c>
      <c r="N11" s="8">
        <v>528.056</v>
      </c>
    </row>
    <row r="12" spans="1:14">
      <c r="A12" s="1">
        <v>11</v>
      </c>
      <c r="B12" s="1">
        <v>81.724</v>
      </c>
      <c r="C12" s="1">
        <v>61.225</v>
      </c>
      <c r="D12" s="1">
        <v>193.585</v>
      </c>
      <c r="E12" s="1">
        <v>55.399</v>
      </c>
      <c r="F12" s="1">
        <v>0</v>
      </c>
      <c r="G12" s="1">
        <v>238.549</v>
      </c>
      <c r="H12" s="1">
        <v>244.839</v>
      </c>
      <c r="I12" s="1">
        <v>87.032</v>
      </c>
      <c r="J12" s="1">
        <v>240.051</v>
      </c>
      <c r="K12" s="1">
        <v>77.066</v>
      </c>
      <c r="L12" s="1">
        <v>0</v>
      </c>
      <c r="M12" s="1">
        <f t="shared" si="0"/>
        <v>37.2850000000001</v>
      </c>
      <c r="N12" s="8">
        <v>1316.755</v>
      </c>
    </row>
    <row r="13" spans="1:14">
      <c r="A13" s="1">
        <v>12</v>
      </c>
      <c r="B13" s="1">
        <v>94.692</v>
      </c>
      <c r="C13" s="1">
        <v>60.114</v>
      </c>
      <c r="D13" s="1">
        <v>62.087</v>
      </c>
      <c r="E13" s="1">
        <v>48.697</v>
      </c>
      <c r="F13" s="1">
        <v>0</v>
      </c>
      <c r="G13" s="1">
        <v>165.985</v>
      </c>
      <c r="H13" s="1">
        <v>160.274</v>
      </c>
      <c r="I13" s="1">
        <v>84.643</v>
      </c>
      <c r="J13" s="1">
        <v>239.937</v>
      </c>
      <c r="K13" s="1">
        <v>59.748</v>
      </c>
      <c r="L13" s="1">
        <v>64.102</v>
      </c>
      <c r="M13" s="1">
        <f t="shared" si="0"/>
        <v>36.8320000000001</v>
      </c>
      <c r="N13" s="8">
        <v>1077.111</v>
      </c>
    </row>
    <row r="14" spans="1:14">
      <c r="A14" s="1">
        <v>13</v>
      </c>
      <c r="B14" s="1">
        <v>56.681</v>
      </c>
      <c r="C14" s="1">
        <v>62.607</v>
      </c>
      <c r="D14" s="1">
        <v>113.052</v>
      </c>
      <c r="E14" s="6">
        <v>45.12</v>
      </c>
      <c r="F14" s="1">
        <v>0</v>
      </c>
      <c r="G14" s="1">
        <v>158.261</v>
      </c>
      <c r="H14" s="1">
        <v>194.469</v>
      </c>
      <c r="I14" s="1">
        <v>90.056</v>
      </c>
      <c r="J14" s="1">
        <v>239.027</v>
      </c>
      <c r="K14" s="6">
        <v>157.15</v>
      </c>
      <c r="L14" s="1">
        <v>67.269</v>
      </c>
      <c r="M14" s="1">
        <f t="shared" si="0"/>
        <v>56.5239999999997</v>
      </c>
      <c r="N14" s="8">
        <v>1240.216</v>
      </c>
    </row>
    <row r="15" spans="1:14">
      <c r="A15" s="1">
        <v>14</v>
      </c>
      <c r="B15" s="1">
        <v>49.225</v>
      </c>
      <c r="C15" s="1">
        <v>62.291</v>
      </c>
      <c r="D15" s="1">
        <v>58.665</v>
      </c>
      <c r="E15" s="1">
        <v>0</v>
      </c>
      <c r="F15" s="1">
        <v>29.841</v>
      </c>
      <c r="G15" s="1">
        <v>0</v>
      </c>
      <c r="H15" s="1">
        <v>0</v>
      </c>
      <c r="I15" s="1">
        <v>0</v>
      </c>
      <c r="J15" s="1"/>
      <c r="K15" s="1">
        <v>0</v>
      </c>
      <c r="L15" s="1">
        <v>0</v>
      </c>
      <c r="M15" s="1">
        <f t="shared" si="0"/>
        <v>60.882</v>
      </c>
      <c r="N15" s="8">
        <v>260.904</v>
      </c>
    </row>
    <row r="16" spans="1:14">
      <c r="A16" s="1">
        <v>15</v>
      </c>
      <c r="B16" s="1">
        <v>72.083</v>
      </c>
      <c r="C16" s="1">
        <v>64.231</v>
      </c>
      <c r="D16" s="1">
        <v>65.423</v>
      </c>
      <c r="E16" s="6">
        <v>48.579</v>
      </c>
      <c r="F16" s="1">
        <v>0</v>
      </c>
      <c r="G16" s="1">
        <v>223.413</v>
      </c>
      <c r="H16" s="1">
        <v>230.262</v>
      </c>
      <c r="I16" s="1">
        <v>63.084</v>
      </c>
      <c r="J16" s="1">
        <v>318.008</v>
      </c>
      <c r="K16" s="1">
        <v>68.413</v>
      </c>
      <c r="L16" s="1">
        <v>0</v>
      </c>
      <c r="M16" s="1">
        <f t="shared" si="0"/>
        <v>64.5929999999998</v>
      </c>
      <c r="N16" s="8">
        <v>1218.089</v>
      </c>
    </row>
    <row r="17" spans="1:14">
      <c r="A17" s="1">
        <v>16</v>
      </c>
      <c r="B17" s="1">
        <v>78.977</v>
      </c>
      <c r="C17" s="1">
        <v>63.391</v>
      </c>
      <c r="D17" s="6">
        <v>127.9</v>
      </c>
      <c r="E17" s="1">
        <v>58.111</v>
      </c>
      <c r="F17" s="1">
        <v>0</v>
      </c>
      <c r="G17" s="1">
        <v>279.518</v>
      </c>
      <c r="H17" s="1">
        <v>247.563</v>
      </c>
      <c r="I17" s="6">
        <v>60.4</v>
      </c>
      <c r="J17" s="6">
        <v>286.38</v>
      </c>
      <c r="K17" s="1">
        <v>73.351</v>
      </c>
      <c r="L17" s="1">
        <v>0</v>
      </c>
      <c r="M17" s="1">
        <f t="shared" si="0"/>
        <v>44.5510000000002</v>
      </c>
      <c r="N17" s="8">
        <v>1320.142</v>
      </c>
    </row>
    <row r="18" spans="1:14">
      <c r="A18" s="1">
        <v>17</v>
      </c>
      <c r="B18" s="1">
        <v>59.599</v>
      </c>
      <c r="C18" s="6">
        <v>59.38</v>
      </c>
      <c r="D18" s="1">
        <v>78.389</v>
      </c>
      <c r="E18" s="1">
        <v>45.075</v>
      </c>
      <c r="F18" s="1">
        <v>0</v>
      </c>
      <c r="G18" s="1">
        <v>191.491</v>
      </c>
      <c r="H18" s="1">
        <v>133.782</v>
      </c>
      <c r="I18" s="1">
        <v>82.773</v>
      </c>
      <c r="J18" s="1">
        <v>198.695</v>
      </c>
      <c r="K18" s="1">
        <v>59.903</v>
      </c>
      <c r="L18" s="1">
        <v>44.151</v>
      </c>
      <c r="M18" s="1">
        <f t="shared" si="0"/>
        <v>60.254</v>
      </c>
      <c r="N18" s="8">
        <v>1013.492</v>
      </c>
    </row>
    <row r="19" spans="1:14">
      <c r="A19" s="1">
        <v>18</v>
      </c>
      <c r="B19" s="6">
        <v>52.09</v>
      </c>
      <c r="C19" s="1">
        <v>55.383</v>
      </c>
      <c r="D19" s="1">
        <v>59.005</v>
      </c>
      <c r="E19" s="1">
        <v>45.493</v>
      </c>
      <c r="F19" s="1">
        <v>0</v>
      </c>
      <c r="G19" s="1">
        <v>177.281</v>
      </c>
      <c r="H19" s="1">
        <v>140.886</v>
      </c>
      <c r="I19" s="1">
        <v>0</v>
      </c>
      <c r="J19" s="1"/>
      <c r="K19" s="1">
        <v>0</v>
      </c>
      <c r="L19" s="1">
        <v>0</v>
      </c>
      <c r="M19" s="1">
        <f t="shared" si="0"/>
        <v>36.7959999999999</v>
      </c>
      <c r="N19" s="8">
        <v>566.934</v>
      </c>
    </row>
    <row r="20" spans="1:14">
      <c r="A20" s="1">
        <v>19</v>
      </c>
      <c r="B20" s="1">
        <v>51.023</v>
      </c>
      <c r="C20" s="1">
        <v>114.478</v>
      </c>
      <c r="D20" s="6">
        <v>133.13</v>
      </c>
      <c r="E20" s="1">
        <v>45.188</v>
      </c>
      <c r="F20" s="1">
        <v>0</v>
      </c>
      <c r="G20" s="1">
        <v>145.113</v>
      </c>
      <c r="H20" s="1">
        <v>164.399</v>
      </c>
      <c r="I20" s="1">
        <v>0</v>
      </c>
      <c r="J20" s="1"/>
      <c r="K20" s="1">
        <v>0</v>
      </c>
      <c r="L20" s="1">
        <v>0</v>
      </c>
      <c r="M20" s="1">
        <f t="shared" si="0"/>
        <v>62.1060000000001</v>
      </c>
      <c r="N20" s="8">
        <v>715.437</v>
      </c>
    </row>
    <row r="21" spans="1:14">
      <c r="A21" s="1">
        <v>20</v>
      </c>
      <c r="B21" s="1">
        <v>51.163</v>
      </c>
      <c r="C21" s="1">
        <v>63.592</v>
      </c>
      <c r="D21" s="1">
        <v>112.173</v>
      </c>
      <c r="E21" s="1">
        <v>72.034</v>
      </c>
      <c r="F21" s="1">
        <v>62.792</v>
      </c>
      <c r="G21" s="6">
        <v>14.48</v>
      </c>
      <c r="H21" s="1">
        <v>21.991</v>
      </c>
      <c r="I21" s="1">
        <v>0</v>
      </c>
      <c r="J21" s="1"/>
      <c r="K21" s="1">
        <v>0</v>
      </c>
      <c r="L21" s="1">
        <v>0</v>
      </c>
      <c r="M21" s="1">
        <f t="shared" si="0"/>
        <v>72.421</v>
      </c>
      <c r="N21" s="8">
        <v>470.646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E4" sqref="E4"/>
    </sheetView>
  </sheetViews>
  <sheetFormatPr defaultColWidth="9" defaultRowHeight="13.5" outlineLevelCol="6"/>
  <sheetData>
    <row r="1" ht="19" customHeight="1" spans="1:7">
      <c r="A1" s="1" t="s">
        <v>9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</row>
    <row r="2" spans="1:7">
      <c r="A2" s="1">
        <v>1</v>
      </c>
      <c r="B2" s="1"/>
      <c r="C2" s="1">
        <v>3.49999999999996</v>
      </c>
      <c r="D2" s="1">
        <v>3.29999999999996</v>
      </c>
      <c r="E2" s="1">
        <v>22.0000000000001</v>
      </c>
      <c r="F2" s="1">
        <v>32.1999999999999</v>
      </c>
      <c r="G2" s="1">
        <v>5.00000000000008</v>
      </c>
    </row>
    <row r="3" spans="1:7">
      <c r="A3" s="1">
        <v>2</v>
      </c>
      <c r="B3" s="1">
        <v>0.2</v>
      </c>
      <c r="C3" s="1">
        <v>1.49999999999998</v>
      </c>
      <c r="D3" s="1">
        <v>1.5</v>
      </c>
      <c r="E3" s="1"/>
      <c r="F3" s="1">
        <v>46.7999999999998</v>
      </c>
      <c r="G3" s="1">
        <v>3.0000000000003</v>
      </c>
    </row>
    <row r="4" spans="1:7">
      <c r="A4" s="1">
        <v>3</v>
      </c>
      <c r="B4" s="1">
        <v>3.39999999999996</v>
      </c>
      <c r="C4" s="1">
        <v>9.7999999999999</v>
      </c>
      <c r="D4" s="1"/>
      <c r="E4" s="1">
        <v>11</v>
      </c>
      <c r="F4" s="1">
        <v>11.4000000000001</v>
      </c>
      <c r="G4" s="1">
        <v>2.4000000000001</v>
      </c>
    </row>
    <row r="5" spans="1:7">
      <c r="A5" s="1">
        <v>4</v>
      </c>
      <c r="B5" s="1">
        <v>3.5</v>
      </c>
      <c r="C5" s="1"/>
      <c r="D5" s="1"/>
      <c r="E5" s="1"/>
      <c r="F5" s="1">
        <v>50.5000000000002</v>
      </c>
      <c r="G5" s="1">
        <v>3.9999999999998</v>
      </c>
    </row>
    <row r="6" spans="1:7">
      <c r="A6" s="1">
        <v>5</v>
      </c>
      <c r="B6" s="1">
        <v>2.69999999999996</v>
      </c>
      <c r="C6" s="1">
        <v>7.39999999999991</v>
      </c>
      <c r="D6" s="1"/>
      <c r="E6" s="1">
        <v>11.9999999999999</v>
      </c>
      <c r="F6" s="1">
        <v>47.9</v>
      </c>
      <c r="G6" s="1">
        <v>2.0000000000003</v>
      </c>
    </row>
    <row r="7" spans="1:7">
      <c r="A7" s="1">
        <v>6</v>
      </c>
      <c r="B7" s="1">
        <v>2.39999999999998</v>
      </c>
      <c r="C7" s="1">
        <v>10.6</v>
      </c>
      <c r="D7" s="1">
        <v>2</v>
      </c>
      <c r="E7" s="1"/>
      <c r="F7" s="1">
        <v>32.0000000000002</v>
      </c>
      <c r="G7" s="1">
        <v>2.9999999999998</v>
      </c>
    </row>
    <row r="8" spans="1:7">
      <c r="A8" s="1">
        <v>7</v>
      </c>
      <c r="B8" s="1">
        <v>1.70000000000016</v>
      </c>
      <c r="C8" s="1">
        <v>13.2000000000001</v>
      </c>
      <c r="D8" s="1">
        <v>0.4</v>
      </c>
      <c r="E8" s="1">
        <v>8.99999999999987</v>
      </c>
      <c r="F8" s="1">
        <v>47.7000000000001</v>
      </c>
      <c r="G8" s="1">
        <v>1.9999999999997</v>
      </c>
    </row>
    <row r="9" spans="1:7">
      <c r="A9" s="1">
        <v>8</v>
      </c>
      <c r="B9" s="1">
        <v>1.29999999999998</v>
      </c>
      <c r="C9" s="1">
        <v>14.4</v>
      </c>
      <c r="D9" s="1">
        <v>3.9</v>
      </c>
      <c r="E9" s="1">
        <v>3.00000000000012</v>
      </c>
      <c r="F9" s="1">
        <v>23.4</v>
      </c>
      <c r="G9" s="1">
        <v>2.9999999999999</v>
      </c>
    </row>
    <row r="10" spans="1:7">
      <c r="A10" s="1">
        <v>9</v>
      </c>
      <c r="B10" s="1">
        <v>7.30000000000028</v>
      </c>
      <c r="C10" s="1">
        <v>3.99999999999996</v>
      </c>
      <c r="D10" s="1">
        <v>4.00000000000009</v>
      </c>
      <c r="E10" s="1">
        <v>6</v>
      </c>
      <c r="F10" s="1">
        <v>35.6999999999999</v>
      </c>
      <c r="G10" s="1">
        <v>8.99999999999977</v>
      </c>
    </row>
    <row r="11" spans="1:7">
      <c r="A11" s="1">
        <v>10</v>
      </c>
      <c r="B11" s="1"/>
      <c r="C11" s="1"/>
      <c r="D11" s="1">
        <v>5.00000000000007</v>
      </c>
      <c r="E11" s="1">
        <v>7</v>
      </c>
      <c r="F11" s="1">
        <v>20.9999999999998</v>
      </c>
      <c r="G11" s="1">
        <v>2.0000000000001</v>
      </c>
    </row>
    <row r="12" spans="1:7">
      <c r="A12" s="1">
        <v>11</v>
      </c>
      <c r="B12" s="1">
        <v>9.69999999999999</v>
      </c>
      <c r="C12" s="1"/>
      <c r="D12" s="1">
        <v>3.00000000000011</v>
      </c>
      <c r="E12" s="1">
        <v>7.00000000000003</v>
      </c>
      <c r="F12" s="1">
        <v>68.3</v>
      </c>
      <c r="G12" s="1">
        <v>3.9999999999999</v>
      </c>
    </row>
    <row r="13" spans="1:7">
      <c r="A13" s="1">
        <v>12</v>
      </c>
      <c r="B13" s="1">
        <v>1.2</v>
      </c>
      <c r="C13" s="1">
        <v>19.4999999999998</v>
      </c>
      <c r="D13" s="1"/>
      <c r="E13" s="1"/>
      <c r="F13" s="1">
        <v>59.2999999999998</v>
      </c>
      <c r="G13" s="1">
        <v>8.00000000000028</v>
      </c>
    </row>
    <row r="14" spans="1:7">
      <c r="A14" s="1">
        <v>13</v>
      </c>
      <c r="B14" s="1">
        <v>5.59999999999992</v>
      </c>
      <c r="C14" s="1">
        <v>4.29999999999994</v>
      </c>
      <c r="D14" s="1"/>
      <c r="E14" s="1">
        <v>19</v>
      </c>
      <c r="F14" s="1">
        <v>24.1000000000002</v>
      </c>
      <c r="G14" s="1">
        <v>4</v>
      </c>
    </row>
    <row r="15" spans="1:7">
      <c r="A15" s="1">
        <v>14</v>
      </c>
      <c r="B15" s="1">
        <v>0.2</v>
      </c>
      <c r="C15" s="1"/>
      <c r="D15" s="1">
        <v>3.99999999999991</v>
      </c>
      <c r="E15" s="1">
        <v>12.0000000000001</v>
      </c>
      <c r="F15" s="1">
        <v>12.8000000000001</v>
      </c>
      <c r="G15" s="1">
        <v>1.9999999999999</v>
      </c>
    </row>
    <row r="16" spans="1:7">
      <c r="A16" s="1">
        <v>15</v>
      </c>
      <c r="B16" s="1">
        <v>3.29999999999998</v>
      </c>
      <c r="C16" s="1">
        <v>16.9000000000001</v>
      </c>
      <c r="D16" s="1">
        <v>2.19999999999996</v>
      </c>
      <c r="E16" s="1">
        <v>5.00000000000007</v>
      </c>
      <c r="F16" s="1">
        <v>33.6000000000001</v>
      </c>
      <c r="G16" s="1">
        <v>2.9999999999998</v>
      </c>
    </row>
    <row r="17" spans="1:7">
      <c r="A17" s="1">
        <v>16</v>
      </c>
      <c r="B17" s="1">
        <v>3.79999999999996</v>
      </c>
      <c r="C17" s="1">
        <v>10.2000000000001</v>
      </c>
      <c r="D17" s="1"/>
      <c r="E17" s="1">
        <v>4.00000000000009</v>
      </c>
      <c r="F17" s="1">
        <v>17</v>
      </c>
      <c r="G17" s="1">
        <v>2.99999999999998</v>
      </c>
    </row>
    <row r="18" spans="1:7">
      <c r="A18" s="1">
        <v>17</v>
      </c>
      <c r="B18" s="1">
        <v>10.6</v>
      </c>
      <c r="C18" s="1">
        <v>6.49999999999994</v>
      </c>
      <c r="D18" s="1">
        <v>1.00000000000016</v>
      </c>
      <c r="E18" s="1">
        <v>22</v>
      </c>
      <c r="F18" s="1">
        <v>11.8999999999998</v>
      </c>
      <c r="G18" s="1">
        <v>5.00000000000018</v>
      </c>
    </row>
    <row r="19" spans="1:7">
      <c r="A19" s="1">
        <v>18</v>
      </c>
      <c r="B19" s="1">
        <v>5.2</v>
      </c>
      <c r="C19" s="1">
        <v>3</v>
      </c>
      <c r="D19" s="1">
        <v>2.00000000000014</v>
      </c>
      <c r="E19" s="1">
        <v>7.00000000000003</v>
      </c>
      <c r="F19" s="1">
        <v>5.8</v>
      </c>
      <c r="G19" s="1">
        <v>1.99999999999988</v>
      </c>
    </row>
    <row r="20" spans="1:7">
      <c r="A20" s="1">
        <v>19</v>
      </c>
      <c r="B20" s="1">
        <v>4.09999999999992</v>
      </c>
      <c r="C20" s="1">
        <v>8.80000000000019</v>
      </c>
      <c r="D20" s="1"/>
      <c r="E20" s="1"/>
      <c r="F20" s="1">
        <v>21.1</v>
      </c>
      <c r="G20" s="1">
        <v>3.9999999999999</v>
      </c>
    </row>
    <row r="21" spans="1:7">
      <c r="A21" s="1">
        <v>20</v>
      </c>
      <c r="B21" s="1">
        <v>2.09999999999996</v>
      </c>
      <c r="C21" s="1">
        <v>1.89999999999998</v>
      </c>
      <c r="D21" s="1">
        <v>2.5</v>
      </c>
      <c r="E21" s="1">
        <v>3</v>
      </c>
      <c r="F21" s="1">
        <v>7.5</v>
      </c>
      <c r="G21" s="1">
        <v>7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workbookViewId="0">
      <selection activeCell="B1" sqref="B1:N21"/>
    </sheetView>
  </sheetViews>
  <sheetFormatPr defaultColWidth="9" defaultRowHeight="13.5"/>
  <cols>
    <col min="2" max="2" width="11.6814159292035" customWidth="1"/>
    <col min="3" max="3" width="13.8761061946903" customWidth="1"/>
    <col min="4" max="5" width="15.070796460177" customWidth="1"/>
    <col min="6" max="6" width="11.6814159292035" customWidth="1"/>
    <col min="7" max="12" width="13.8761061946903" customWidth="1"/>
  </cols>
  <sheetData>
    <row r="1" spans="1:14">
      <c r="A1" s="1" t="s">
        <v>9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21</v>
      </c>
      <c r="N1" s="4" t="s">
        <v>34</v>
      </c>
    </row>
    <row r="2" spans="1:14">
      <c r="A2" s="4">
        <v>1</v>
      </c>
      <c r="B2" s="1">
        <v>1</v>
      </c>
      <c r="C2" s="1">
        <v>3.20000000000011</v>
      </c>
      <c r="D2" s="1">
        <v>21.8000000000001</v>
      </c>
      <c r="E2" s="1">
        <v>0.999999999999979</v>
      </c>
      <c r="F2" s="1"/>
      <c r="G2" s="1">
        <v>6.99999999999994</v>
      </c>
      <c r="H2" s="1">
        <v>3.99999999999998</v>
      </c>
      <c r="I2" s="1">
        <v>0.999999999999979</v>
      </c>
      <c r="J2" s="1">
        <v>16.9999999999999</v>
      </c>
      <c r="K2" s="1">
        <v>0.999999999999979</v>
      </c>
      <c r="L2" s="1">
        <v>4.99999999999989</v>
      </c>
      <c r="M2" s="1">
        <v>4.0000000000001</v>
      </c>
      <c r="N2" s="1">
        <v>66</v>
      </c>
    </row>
    <row r="3" spans="1:14">
      <c r="A3" s="4">
        <v>2</v>
      </c>
      <c r="B3" s="1">
        <v>3.99999999999992</v>
      </c>
      <c r="C3" s="1">
        <v>2.49999999999998</v>
      </c>
      <c r="D3" s="1">
        <v>3.5</v>
      </c>
      <c r="E3" s="1">
        <v>4.0000000000001</v>
      </c>
      <c r="F3" s="1"/>
      <c r="G3" s="1">
        <v>10.9999999999998</v>
      </c>
      <c r="H3" s="1">
        <v>11.9999999999999</v>
      </c>
      <c r="I3" s="1">
        <v>1.5</v>
      </c>
      <c r="J3" s="1">
        <v>6.49999999999998</v>
      </c>
      <c r="K3" s="1">
        <v>2</v>
      </c>
      <c r="L3" s="1">
        <v>3</v>
      </c>
      <c r="M3" s="1">
        <v>3.0000000000003</v>
      </c>
      <c r="N3" s="1">
        <v>53</v>
      </c>
    </row>
    <row r="4" spans="1:14">
      <c r="A4" s="4">
        <v>3</v>
      </c>
      <c r="B4" s="1">
        <v>3.99999999999992</v>
      </c>
      <c r="C4" s="1">
        <v>0.5</v>
      </c>
      <c r="D4" s="1">
        <v>0.5</v>
      </c>
      <c r="E4" s="1">
        <v>1</v>
      </c>
      <c r="F4" s="1">
        <v>11</v>
      </c>
      <c r="G4" s="1">
        <v>3.99999999999996</v>
      </c>
      <c r="H4" s="1">
        <v>3.99999999999996</v>
      </c>
      <c r="I4" s="1"/>
      <c r="J4" s="1">
        <v>7.20000000000014</v>
      </c>
      <c r="K4" s="1">
        <v>2.79999999999996</v>
      </c>
      <c r="L4" s="1">
        <v>1</v>
      </c>
      <c r="M4" s="1">
        <v>2.0000000000002</v>
      </c>
      <c r="N4" s="1">
        <v>38.0000000000001</v>
      </c>
    </row>
    <row r="5" spans="1:14">
      <c r="A5" s="4">
        <v>4</v>
      </c>
      <c r="B5" s="1"/>
      <c r="C5" s="1">
        <v>2</v>
      </c>
      <c r="D5" s="1">
        <v>8.9999999999999</v>
      </c>
      <c r="E5" s="1">
        <v>1</v>
      </c>
      <c r="F5" s="1">
        <v>3.99999999999996</v>
      </c>
      <c r="G5" s="1">
        <v>24.9999999999999</v>
      </c>
      <c r="H5" s="1">
        <v>13.0000000000004</v>
      </c>
      <c r="I5" s="1"/>
      <c r="J5" s="1"/>
      <c r="K5" s="1"/>
      <c r="L5" s="1"/>
      <c r="M5" s="1">
        <v>3.9999999999998</v>
      </c>
      <c r="N5" s="1">
        <v>58</v>
      </c>
    </row>
    <row r="6" spans="1:14">
      <c r="A6" s="4">
        <v>5</v>
      </c>
      <c r="B6" s="1">
        <v>15.9999999999998</v>
      </c>
      <c r="C6" s="1">
        <v>0.999999999999979</v>
      </c>
      <c r="D6" s="1">
        <v>5.70000000000011</v>
      </c>
      <c r="E6" s="1"/>
      <c r="F6" s="1"/>
      <c r="G6" s="1">
        <v>9</v>
      </c>
      <c r="H6" s="1">
        <v>10.4</v>
      </c>
      <c r="I6" s="1">
        <v>4</v>
      </c>
      <c r="J6" s="1">
        <v>11.9</v>
      </c>
      <c r="K6" s="1">
        <v>11.9999999999998</v>
      </c>
      <c r="L6" s="1"/>
      <c r="M6" s="1">
        <v>2.0000000000003</v>
      </c>
      <c r="N6" s="1">
        <v>72</v>
      </c>
    </row>
    <row r="7" spans="1:14">
      <c r="A7" s="4">
        <v>6</v>
      </c>
      <c r="B7" s="1"/>
      <c r="C7" s="1">
        <v>3</v>
      </c>
      <c r="D7" s="1">
        <v>0.4</v>
      </c>
      <c r="E7" s="1">
        <v>0.999999999999979</v>
      </c>
      <c r="F7" s="1"/>
      <c r="G7" s="1">
        <v>8.80000000000016</v>
      </c>
      <c r="H7" s="1">
        <v>14.8</v>
      </c>
      <c r="I7" s="1"/>
      <c r="J7" s="1">
        <v>13</v>
      </c>
      <c r="K7" s="1">
        <v>3.00000000000014</v>
      </c>
      <c r="L7" s="1">
        <v>3</v>
      </c>
      <c r="M7" s="1">
        <v>2.9999999999998</v>
      </c>
      <c r="N7" s="1">
        <v>50.0000000000001</v>
      </c>
    </row>
    <row r="8" spans="1:14">
      <c r="A8" s="4">
        <v>7</v>
      </c>
      <c r="B8" s="1">
        <v>4.99999999999996</v>
      </c>
      <c r="C8" s="1">
        <v>7.80000000000003</v>
      </c>
      <c r="D8" s="1">
        <v>7.20000000000005</v>
      </c>
      <c r="E8" s="1">
        <v>1.00000000000016</v>
      </c>
      <c r="F8" s="1"/>
      <c r="G8" s="1">
        <v>15</v>
      </c>
      <c r="H8" s="1">
        <v>13</v>
      </c>
      <c r="I8" s="1">
        <v>0.999999999999979</v>
      </c>
      <c r="J8" s="1">
        <v>18.0000000000001</v>
      </c>
      <c r="K8" s="1">
        <v>4.0000000000001</v>
      </c>
      <c r="L8" s="1"/>
      <c r="M8" s="1">
        <v>1.9999999999996</v>
      </c>
      <c r="N8" s="1">
        <v>74</v>
      </c>
    </row>
    <row r="9" spans="1:14">
      <c r="A9" s="4">
        <v>8</v>
      </c>
      <c r="B9" s="1">
        <v>1</v>
      </c>
      <c r="C9" s="1">
        <v>2.99999999999994</v>
      </c>
      <c r="D9" s="1">
        <v>7.00000000000012</v>
      </c>
      <c r="E9" s="1">
        <v>2.99999999999994</v>
      </c>
      <c r="F9" s="1">
        <v>1</v>
      </c>
      <c r="G9" s="1">
        <v>11</v>
      </c>
      <c r="H9" s="1">
        <v>7.00000000000008</v>
      </c>
      <c r="I9" s="1">
        <v>0.999999999999979</v>
      </c>
      <c r="J9" s="1">
        <v>10.0000000000001</v>
      </c>
      <c r="K9" s="1">
        <v>1.99999999999998</v>
      </c>
      <c r="L9" s="1"/>
      <c r="M9" s="1">
        <v>2.9999999999999</v>
      </c>
      <c r="N9" s="1">
        <v>49</v>
      </c>
    </row>
    <row r="10" spans="1:14">
      <c r="A10" s="4">
        <v>9</v>
      </c>
      <c r="B10" s="1"/>
      <c r="C10" s="1">
        <v>3.20000000000011</v>
      </c>
      <c r="D10" s="1">
        <v>2.8</v>
      </c>
      <c r="E10" s="1">
        <v>2</v>
      </c>
      <c r="F10" s="1"/>
      <c r="G10" s="1">
        <v>13</v>
      </c>
      <c r="H10" s="1">
        <v>13</v>
      </c>
      <c r="I10" s="1">
        <v>6</v>
      </c>
      <c r="J10" s="1">
        <v>12.0000000000001</v>
      </c>
      <c r="K10" s="1">
        <v>0.999999999999979</v>
      </c>
      <c r="L10" s="1">
        <v>9.00000000000007</v>
      </c>
      <c r="M10" s="1">
        <v>3.9999999999997</v>
      </c>
      <c r="N10" s="1">
        <v>66</v>
      </c>
    </row>
    <row r="11" spans="1:14">
      <c r="A11" s="4">
        <v>10</v>
      </c>
      <c r="B11" s="1">
        <v>1.99999999999996</v>
      </c>
      <c r="C11" s="1">
        <v>5.99999999999988</v>
      </c>
      <c r="D11" s="1">
        <v>10.0000000000001</v>
      </c>
      <c r="E11" s="1">
        <v>5.00000000000007</v>
      </c>
      <c r="F11" s="1">
        <v>4</v>
      </c>
      <c r="G11" s="1"/>
      <c r="H11" s="1">
        <v>5.99999999999988</v>
      </c>
      <c r="I11" s="1"/>
      <c r="J11" s="1"/>
      <c r="K11" s="1"/>
      <c r="L11" s="1"/>
      <c r="M11" s="1">
        <v>2.0000000000001</v>
      </c>
      <c r="N11" s="1">
        <v>35</v>
      </c>
    </row>
    <row r="12" spans="1:14">
      <c r="A12" s="4">
        <v>11</v>
      </c>
      <c r="B12" s="1">
        <v>2.99999999999994</v>
      </c>
      <c r="C12" s="1">
        <v>5.00000000000007</v>
      </c>
      <c r="D12" s="1">
        <v>2.99999999999996</v>
      </c>
      <c r="E12" s="1">
        <v>4.00000000000009</v>
      </c>
      <c r="F12" s="1"/>
      <c r="G12" s="1">
        <v>20.9999999999999</v>
      </c>
      <c r="H12" s="1">
        <v>27</v>
      </c>
      <c r="I12" s="1">
        <v>7.40000000000003</v>
      </c>
      <c r="J12" s="1">
        <v>15.6000000000001</v>
      </c>
      <c r="K12" s="1">
        <v>1.99999999999996</v>
      </c>
      <c r="L12" s="1"/>
      <c r="M12" s="1">
        <v>3.9999999999999</v>
      </c>
      <c r="N12" s="1">
        <v>91.9999999999999</v>
      </c>
    </row>
    <row r="13" spans="1:14">
      <c r="A13" s="4">
        <v>12</v>
      </c>
      <c r="B13" s="1">
        <v>0.999999999999979</v>
      </c>
      <c r="C13" s="1">
        <v>2.99999999999994</v>
      </c>
      <c r="D13" s="1">
        <v>1</v>
      </c>
      <c r="E13" s="1">
        <v>0.999999999999979</v>
      </c>
      <c r="F13" s="1"/>
      <c r="G13" s="1">
        <v>20.9999999999999</v>
      </c>
      <c r="H13" s="1">
        <v>20</v>
      </c>
      <c r="I13" s="1">
        <v>8.00000000000005</v>
      </c>
      <c r="J13" s="1">
        <v>16</v>
      </c>
      <c r="K13" s="1">
        <v>4.99999999999994</v>
      </c>
      <c r="L13" s="1">
        <v>4.99999999999994</v>
      </c>
      <c r="M13" s="1">
        <v>7.0000000000002</v>
      </c>
      <c r="N13" s="1">
        <v>87.9999999999999</v>
      </c>
    </row>
    <row r="14" spans="1:14">
      <c r="A14" s="4">
        <v>13</v>
      </c>
      <c r="B14" s="1">
        <v>6</v>
      </c>
      <c r="C14" s="1">
        <v>7.00000000000006</v>
      </c>
      <c r="D14" s="1">
        <v>5.1999999999999</v>
      </c>
      <c r="E14" s="1"/>
      <c r="F14" s="1"/>
      <c r="G14" s="1">
        <v>7.99999999999985</v>
      </c>
      <c r="H14" s="1">
        <v>6.79999999999996</v>
      </c>
      <c r="I14" s="1"/>
      <c r="J14" s="1">
        <v>13.0000000000001</v>
      </c>
      <c r="K14" s="1">
        <v>2.99999999999996</v>
      </c>
      <c r="L14" s="1">
        <v>4.00000000000009</v>
      </c>
      <c r="M14" s="1">
        <v>4.0000000000001</v>
      </c>
      <c r="N14" s="1">
        <v>57</v>
      </c>
    </row>
    <row r="15" spans="1:14">
      <c r="A15" s="4">
        <v>14</v>
      </c>
      <c r="B15" s="1">
        <v>6.00000000000005</v>
      </c>
      <c r="C15" s="1">
        <v>10</v>
      </c>
      <c r="D15" s="1">
        <v>6.00000000000005</v>
      </c>
      <c r="E15" s="1"/>
      <c r="F15" s="1">
        <v>7.00000000000003</v>
      </c>
      <c r="G15" s="1"/>
      <c r="H15" s="1"/>
      <c r="I15" s="1"/>
      <c r="J15" s="1"/>
      <c r="K15" s="1"/>
      <c r="L15" s="1"/>
      <c r="M15" s="1">
        <v>1.9999999999999</v>
      </c>
      <c r="N15" s="1">
        <v>31</v>
      </c>
    </row>
    <row r="16" spans="1:14">
      <c r="A16" s="4">
        <v>15</v>
      </c>
      <c r="B16" s="1">
        <v>1.99999999999996</v>
      </c>
      <c r="C16" s="1">
        <v>1.99999999999998</v>
      </c>
      <c r="D16" s="1">
        <v>2</v>
      </c>
      <c r="E16" s="1">
        <v>0.5</v>
      </c>
      <c r="F16" s="1"/>
      <c r="G16" s="1">
        <v>14</v>
      </c>
      <c r="H16" s="1">
        <v>13.5</v>
      </c>
      <c r="I16" s="1">
        <v>8.20000000000001</v>
      </c>
      <c r="J16" s="1">
        <v>17.0000000000002</v>
      </c>
      <c r="K16" s="1">
        <v>1.79999999999998</v>
      </c>
      <c r="L16" s="1"/>
      <c r="M16" s="1">
        <v>2.9999999999998</v>
      </c>
      <c r="N16" s="1">
        <v>63.9999999999999</v>
      </c>
    </row>
    <row r="17" spans="1:14">
      <c r="A17" s="4">
        <v>16</v>
      </c>
      <c r="B17" s="1">
        <v>0.999999999999979</v>
      </c>
      <c r="C17" s="1">
        <v>1</v>
      </c>
      <c r="D17" s="1">
        <v>2.99999999999998</v>
      </c>
      <c r="E17" s="1">
        <v>0.999999999999979</v>
      </c>
      <c r="F17" s="1"/>
      <c r="G17" s="1">
        <v>9.00000000000008</v>
      </c>
      <c r="H17" s="1">
        <v>6.9999999999999</v>
      </c>
      <c r="I17" s="1">
        <v>2.50000000000014</v>
      </c>
      <c r="J17" s="1">
        <v>9.00000000000001</v>
      </c>
      <c r="K17" s="1">
        <v>2.49999999999998</v>
      </c>
      <c r="L17" s="1"/>
      <c r="M17" s="1">
        <v>2.0000000000001</v>
      </c>
      <c r="N17" s="1">
        <v>38.0000000000001</v>
      </c>
    </row>
    <row r="18" spans="1:14">
      <c r="A18" s="4">
        <v>17</v>
      </c>
      <c r="B18" s="1">
        <v>3.00000000000016</v>
      </c>
      <c r="C18" s="1">
        <v>1.1</v>
      </c>
      <c r="D18" s="1">
        <v>11.9</v>
      </c>
      <c r="E18" s="1">
        <v>1</v>
      </c>
      <c r="F18" s="1"/>
      <c r="G18" s="1">
        <v>7.99999999999986</v>
      </c>
      <c r="H18" s="1">
        <v>4.9999999999999</v>
      </c>
      <c r="I18" s="1">
        <v>1.99999999999996</v>
      </c>
      <c r="J18" s="1">
        <v>18</v>
      </c>
      <c r="K18" s="1">
        <v>2.99999999999994</v>
      </c>
      <c r="L18" s="1"/>
      <c r="M18" s="1">
        <v>4.0000000000003</v>
      </c>
      <c r="N18" s="1">
        <v>57.0000000000001</v>
      </c>
    </row>
    <row r="19" spans="1:14">
      <c r="A19" s="4">
        <v>18</v>
      </c>
      <c r="B19" s="1">
        <v>2.00000000000014</v>
      </c>
      <c r="C19" s="1">
        <v>3.99999999999996</v>
      </c>
      <c r="D19" s="1">
        <v>8.00000000000001</v>
      </c>
      <c r="E19" s="1">
        <v>1.99999999999996</v>
      </c>
      <c r="F19" s="1"/>
      <c r="G19" s="1">
        <v>4.00000000000012</v>
      </c>
      <c r="H19" s="1">
        <v>3.99999999999992</v>
      </c>
      <c r="I19" s="1"/>
      <c r="J19" s="1"/>
      <c r="K19" s="1"/>
      <c r="L19" s="1"/>
      <c r="M19" s="1">
        <v>0.999999999999901</v>
      </c>
      <c r="N19" s="1">
        <v>25</v>
      </c>
    </row>
    <row r="20" spans="1:14">
      <c r="A20" s="4">
        <v>19</v>
      </c>
      <c r="B20" s="1">
        <v>0.1</v>
      </c>
      <c r="C20" s="1">
        <v>4.89999999999994</v>
      </c>
      <c r="D20" s="1">
        <v>8.00000000000002</v>
      </c>
      <c r="E20" s="1">
        <v>0.2</v>
      </c>
      <c r="F20" s="1"/>
      <c r="G20" s="1">
        <v>11</v>
      </c>
      <c r="H20" s="1">
        <v>11.8000000000002</v>
      </c>
      <c r="I20" s="1"/>
      <c r="J20" s="1"/>
      <c r="K20" s="1"/>
      <c r="L20" s="1"/>
      <c r="M20" s="1">
        <v>1.9999999999999</v>
      </c>
      <c r="N20" s="1">
        <v>38.0000000000001</v>
      </c>
    </row>
    <row r="21" spans="1:14">
      <c r="A21" s="4">
        <v>20</v>
      </c>
      <c r="B21" s="1"/>
      <c r="C21" s="1">
        <v>0.3</v>
      </c>
      <c r="D21" s="1">
        <v>9.7000000000001</v>
      </c>
      <c r="E21" s="1">
        <v>4.99999999999998</v>
      </c>
      <c r="F21" s="1">
        <v>6</v>
      </c>
      <c r="G21" s="1"/>
      <c r="H21" s="1">
        <v>2.00000000000014</v>
      </c>
      <c r="I21" s="1"/>
      <c r="J21" s="1"/>
      <c r="K21" s="1"/>
      <c r="L21" s="1"/>
      <c r="M21" s="1">
        <v>0.999999999999702</v>
      </c>
      <c r="N21" s="1">
        <v>23.9999999999999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1"/>
  <sheetViews>
    <sheetView workbookViewId="0">
      <selection activeCell="J14" sqref="J14"/>
    </sheetView>
  </sheetViews>
  <sheetFormatPr defaultColWidth="9.02654867256637" defaultRowHeight="13.5"/>
  <cols>
    <col min="2" max="2" width="12.5752212389381" customWidth="1"/>
  </cols>
  <sheetData>
    <row r="1" ht="21" customHeight="1" spans="1:26">
      <c r="A1" s="1" t="s">
        <v>9</v>
      </c>
      <c r="B1" s="1" t="s">
        <v>41</v>
      </c>
      <c r="C1" s="2" t="s">
        <v>42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47</v>
      </c>
      <c r="I1" s="3" t="s">
        <v>48</v>
      </c>
      <c r="J1" s="3" t="s">
        <v>49</v>
      </c>
      <c r="K1" s="3" t="s">
        <v>50</v>
      </c>
      <c r="L1" s="3" t="s">
        <v>51</v>
      </c>
      <c r="M1" s="3" t="s">
        <v>52</v>
      </c>
      <c r="N1" s="3" t="s">
        <v>53</v>
      </c>
      <c r="O1" s="3" t="s">
        <v>54</v>
      </c>
      <c r="P1" s="3" t="s">
        <v>55</v>
      </c>
      <c r="Q1" s="3" t="s">
        <v>56</v>
      </c>
      <c r="R1" s="3" t="s">
        <v>57</v>
      </c>
      <c r="S1" s="3" t="s">
        <v>58</v>
      </c>
      <c r="T1" s="3" t="s">
        <v>59</v>
      </c>
      <c r="U1" s="3" t="s">
        <v>60</v>
      </c>
      <c r="V1" s="3" t="s">
        <v>61</v>
      </c>
      <c r="W1" s="3" t="s">
        <v>62</v>
      </c>
      <c r="X1" s="3" t="s">
        <v>63</v>
      </c>
      <c r="Y1" s="3" t="s">
        <v>64</v>
      </c>
      <c r="Z1" s="3" t="s">
        <v>65</v>
      </c>
    </row>
    <row r="2" spans="1:26">
      <c r="A2" s="4">
        <v>1</v>
      </c>
      <c r="B2" s="5">
        <v>6</v>
      </c>
      <c r="C2" s="3">
        <v>5</v>
      </c>
      <c r="D2" s="3">
        <v>6</v>
      </c>
      <c r="E2" s="3">
        <v>7</v>
      </c>
      <c r="F2" s="3">
        <v>4</v>
      </c>
      <c r="G2" s="3">
        <v>10</v>
      </c>
      <c r="H2" s="3">
        <v>9</v>
      </c>
      <c r="I2" s="3">
        <v>5</v>
      </c>
      <c r="J2" s="3">
        <v>8</v>
      </c>
      <c r="K2" s="3">
        <v>3</v>
      </c>
      <c r="L2" s="3">
        <v>2</v>
      </c>
      <c r="M2" s="3">
        <v>1</v>
      </c>
      <c r="N2" s="3">
        <v>6</v>
      </c>
      <c r="O2" s="3">
        <v>6</v>
      </c>
      <c r="P2" s="3">
        <v>5</v>
      </c>
      <c r="Q2" s="3">
        <v>4</v>
      </c>
      <c r="R2" s="3">
        <v>5</v>
      </c>
      <c r="S2" s="3">
        <v>4</v>
      </c>
      <c r="T2" s="3">
        <v>4</v>
      </c>
      <c r="U2" s="3">
        <v>4</v>
      </c>
      <c r="V2" s="3">
        <v>4</v>
      </c>
      <c r="W2" s="3">
        <v>4</v>
      </c>
      <c r="X2" s="3">
        <v>4</v>
      </c>
      <c r="Y2" s="3">
        <v>4</v>
      </c>
      <c r="Z2" s="3">
        <v>5</v>
      </c>
    </row>
    <row r="3" spans="1:26">
      <c r="A3" s="4">
        <v>2</v>
      </c>
      <c r="B3" s="5">
        <v>7</v>
      </c>
      <c r="C3" s="3">
        <v>6</v>
      </c>
      <c r="D3" s="3">
        <v>3</v>
      </c>
      <c r="E3" s="3">
        <v>2</v>
      </c>
      <c r="F3" s="3">
        <v>10</v>
      </c>
      <c r="G3" s="3">
        <v>9</v>
      </c>
      <c r="H3" s="3">
        <v>8</v>
      </c>
      <c r="I3" s="3">
        <v>1</v>
      </c>
      <c r="J3" s="3">
        <v>6</v>
      </c>
      <c r="K3" s="3">
        <v>5</v>
      </c>
      <c r="L3" s="3">
        <v>4</v>
      </c>
      <c r="M3" s="3">
        <v>7</v>
      </c>
      <c r="N3" s="3">
        <v>6</v>
      </c>
      <c r="O3" s="3">
        <v>7</v>
      </c>
      <c r="P3" s="3">
        <v>6</v>
      </c>
      <c r="Q3" s="3">
        <v>5</v>
      </c>
      <c r="R3" s="3">
        <v>6</v>
      </c>
      <c r="S3" s="3">
        <v>7</v>
      </c>
      <c r="T3" s="3">
        <v>4</v>
      </c>
      <c r="U3" s="3">
        <v>6</v>
      </c>
      <c r="V3" s="3">
        <v>7</v>
      </c>
      <c r="W3" s="3">
        <v>6</v>
      </c>
      <c r="X3" s="3">
        <v>7</v>
      </c>
      <c r="Y3" s="3">
        <v>7</v>
      </c>
      <c r="Z3" s="3">
        <v>7</v>
      </c>
    </row>
    <row r="4" spans="1:26">
      <c r="A4" s="4">
        <v>3</v>
      </c>
      <c r="B4" s="5">
        <v>7</v>
      </c>
      <c r="C4" s="3">
        <v>7</v>
      </c>
      <c r="D4" s="3">
        <v>8</v>
      </c>
      <c r="E4" s="3">
        <v>7</v>
      </c>
      <c r="F4" s="3">
        <v>10</v>
      </c>
      <c r="G4" s="3">
        <v>9</v>
      </c>
      <c r="H4" s="3">
        <v>5</v>
      </c>
      <c r="I4" s="3">
        <v>2</v>
      </c>
      <c r="J4" s="3">
        <v>4</v>
      </c>
      <c r="K4" s="3">
        <v>3</v>
      </c>
      <c r="L4" s="3">
        <v>6</v>
      </c>
      <c r="M4" s="3">
        <v>1</v>
      </c>
      <c r="N4" s="3">
        <v>7</v>
      </c>
      <c r="O4" s="3">
        <v>6</v>
      </c>
      <c r="P4" s="3">
        <v>3</v>
      </c>
      <c r="Q4" s="3">
        <v>6</v>
      </c>
      <c r="R4" s="3">
        <v>6</v>
      </c>
      <c r="S4" s="3">
        <v>6</v>
      </c>
      <c r="T4" s="3">
        <v>6</v>
      </c>
      <c r="U4" s="3">
        <v>4</v>
      </c>
      <c r="V4" s="3">
        <v>6</v>
      </c>
      <c r="W4" s="3">
        <v>6</v>
      </c>
      <c r="X4" s="3">
        <v>5</v>
      </c>
      <c r="Y4" s="3">
        <v>4</v>
      </c>
      <c r="Z4" s="3">
        <v>6</v>
      </c>
    </row>
    <row r="5" spans="1:26">
      <c r="A5" s="4">
        <v>4</v>
      </c>
      <c r="B5" s="5">
        <v>7</v>
      </c>
      <c r="C5" s="3">
        <v>7</v>
      </c>
      <c r="D5" s="3">
        <v>6</v>
      </c>
      <c r="E5" s="3">
        <v>1</v>
      </c>
      <c r="F5" s="3">
        <v>2</v>
      </c>
      <c r="G5" s="3">
        <v>4</v>
      </c>
      <c r="H5" s="3">
        <v>3</v>
      </c>
      <c r="I5" s="3">
        <v>5</v>
      </c>
      <c r="J5" s="3">
        <v>7</v>
      </c>
      <c r="K5" s="3">
        <v>8</v>
      </c>
      <c r="L5" s="3">
        <v>9</v>
      </c>
      <c r="M5" s="3">
        <v>10</v>
      </c>
      <c r="N5" s="3">
        <v>7</v>
      </c>
      <c r="O5" s="3">
        <v>7</v>
      </c>
      <c r="P5" s="3">
        <v>7</v>
      </c>
      <c r="Q5" s="3">
        <v>7</v>
      </c>
      <c r="R5" s="3">
        <v>7</v>
      </c>
      <c r="S5" s="3">
        <v>7</v>
      </c>
      <c r="T5" s="3">
        <v>6</v>
      </c>
      <c r="U5" s="3">
        <v>6</v>
      </c>
      <c r="V5" s="3">
        <v>7</v>
      </c>
      <c r="W5" s="3">
        <v>7</v>
      </c>
      <c r="X5" s="3">
        <v>7</v>
      </c>
      <c r="Y5" s="3">
        <v>7</v>
      </c>
      <c r="Z5" s="3">
        <v>7</v>
      </c>
    </row>
    <row r="6" spans="1:26">
      <c r="A6" s="4">
        <v>5</v>
      </c>
      <c r="B6" s="5">
        <v>7</v>
      </c>
      <c r="C6" s="3">
        <v>6</v>
      </c>
      <c r="D6" s="3">
        <v>7</v>
      </c>
      <c r="E6" s="3">
        <v>6</v>
      </c>
      <c r="F6" s="3">
        <v>8</v>
      </c>
      <c r="G6" s="3">
        <v>9</v>
      </c>
      <c r="H6" s="3">
        <v>10</v>
      </c>
      <c r="I6" s="3">
        <v>1</v>
      </c>
      <c r="J6" s="3">
        <v>4</v>
      </c>
      <c r="K6" s="3">
        <v>3</v>
      </c>
      <c r="L6" s="3">
        <v>5</v>
      </c>
      <c r="M6" s="3">
        <v>2</v>
      </c>
      <c r="N6" s="3">
        <v>6</v>
      </c>
      <c r="O6" s="3">
        <v>6</v>
      </c>
      <c r="P6" s="3">
        <v>6</v>
      </c>
      <c r="Q6" s="3">
        <v>6</v>
      </c>
      <c r="R6" s="3">
        <v>6</v>
      </c>
      <c r="S6" s="3">
        <v>6</v>
      </c>
      <c r="T6" s="3">
        <v>6</v>
      </c>
      <c r="U6" s="3">
        <v>6</v>
      </c>
      <c r="V6" s="3">
        <v>6</v>
      </c>
      <c r="W6" s="3">
        <v>5</v>
      </c>
      <c r="X6" s="3">
        <v>6</v>
      </c>
      <c r="Y6" s="3">
        <v>5</v>
      </c>
      <c r="Z6" s="3">
        <v>6</v>
      </c>
    </row>
    <row r="7" spans="1:26">
      <c r="A7" s="4">
        <v>6</v>
      </c>
      <c r="B7" s="5">
        <v>7</v>
      </c>
      <c r="C7" s="3">
        <v>7</v>
      </c>
      <c r="D7" s="3">
        <v>2</v>
      </c>
      <c r="E7" s="3">
        <v>3</v>
      </c>
      <c r="F7" s="3">
        <v>10</v>
      </c>
      <c r="G7" s="3">
        <v>7</v>
      </c>
      <c r="H7" s="3">
        <v>8</v>
      </c>
      <c r="I7" s="3">
        <v>6</v>
      </c>
      <c r="J7" s="3">
        <v>9</v>
      </c>
      <c r="K7" s="3">
        <v>4</v>
      </c>
      <c r="L7" s="3">
        <v>5</v>
      </c>
      <c r="M7" s="3">
        <v>1</v>
      </c>
      <c r="N7" s="3">
        <v>6</v>
      </c>
      <c r="O7" s="3">
        <v>7</v>
      </c>
      <c r="P7" s="3">
        <v>7</v>
      </c>
      <c r="Q7" s="3">
        <v>7</v>
      </c>
      <c r="R7" s="3">
        <v>7</v>
      </c>
      <c r="S7" s="3">
        <v>5</v>
      </c>
      <c r="T7" s="3">
        <v>6</v>
      </c>
      <c r="U7" s="3">
        <v>6</v>
      </c>
      <c r="V7" s="3">
        <v>5</v>
      </c>
      <c r="W7" s="3">
        <v>7</v>
      </c>
      <c r="X7" s="3">
        <v>7</v>
      </c>
      <c r="Y7" s="3">
        <v>5</v>
      </c>
      <c r="Z7" s="3">
        <v>6</v>
      </c>
    </row>
    <row r="8" spans="1:26">
      <c r="A8" s="4">
        <v>7</v>
      </c>
      <c r="B8" s="5">
        <v>5</v>
      </c>
      <c r="C8" s="3">
        <v>6</v>
      </c>
      <c r="D8" s="3">
        <v>8</v>
      </c>
      <c r="E8" s="3">
        <v>7</v>
      </c>
      <c r="F8" s="3">
        <v>9</v>
      </c>
      <c r="G8" s="3">
        <v>6</v>
      </c>
      <c r="H8" s="3">
        <v>10</v>
      </c>
      <c r="I8" s="3">
        <v>2</v>
      </c>
      <c r="J8" s="3">
        <v>4</v>
      </c>
      <c r="K8" s="3">
        <v>1</v>
      </c>
      <c r="L8" s="3">
        <v>3</v>
      </c>
      <c r="M8" s="3">
        <v>5</v>
      </c>
      <c r="N8" s="3">
        <v>6</v>
      </c>
      <c r="O8" s="3">
        <v>5</v>
      </c>
      <c r="P8" s="3">
        <v>6</v>
      </c>
      <c r="Q8" s="3">
        <v>6</v>
      </c>
      <c r="R8" s="3">
        <v>6</v>
      </c>
      <c r="S8" s="3">
        <v>4</v>
      </c>
      <c r="T8" s="3">
        <v>6</v>
      </c>
      <c r="U8" s="3">
        <v>5</v>
      </c>
      <c r="V8" s="3">
        <v>6</v>
      </c>
      <c r="W8" s="3">
        <v>6</v>
      </c>
      <c r="X8" s="3">
        <v>5</v>
      </c>
      <c r="Y8" s="3">
        <v>6</v>
      </c>
      <c r="Z8" s="3">
        <v>6</v>
      </c>
    </row>
    <row r="9" spans="1:26">
      <c r="A9" s="4">
        <v>8</v>
      </c>
      <c r="B9" s="5">
        <v>7</v>
      </c>
      <c r="C9" s="3">
        <v>7</v>
      </c>
      <c r="D9" s="3">
        <v>6</v>
      </c>
      <c r="E9" s="3">
        <v>5</v>
      </c>
      <c r="F9" s="3">
        <v>9</v>
      </c>
      <c r="G9" s="3">
        <v>8</v>
      </c>
      <c r="H9" s="3">
        <v>7</v>
      </c>
      <c r="I9" s="3">
        <v>2</v>
      </c>
      <c r="J9" s="3">
        <v>10</v>
      </c>
      <c r="K9" s="3">
        <v>4</v>
      </c>
      <c r="L9" s="3">
        <v>3</v>
      </c>
      <c r="M9" s="3">
        <v>1</v>
      </c>
      <c r="N9" s="3">
        <v>7</v>
      </c>
      <c r="O9" s="3">
        <v>7</v>
      </c>
      <c r="P9" s="3">
        <v>7</v>
      </c>
      <c r="Q9" s="3">
        <v>7</v>
      </c>
      <c r="R9" s="3">
        <v>7</v>
      </c>
      <c r="S9" s="3">
        <v>6</v>
      </c>
      <c r="T9" s="3">
        <v>6</v>
      </c>
      <c r="U9" s="3">
        <v>6</v>
      </c>
      <c r="V9" s="3">
        <v>7</v>
      </c>
      <c r="W9" s="3">
        <v>7</v>
      </c>
      <c r="X9" s="3">
        <v>7</v>
      </c>
      <c r="Y9" s="3">
        <v>7</v>
      </c>
      <c r="Z9" s="3">
        <v>6</v>
      </c>
    </row>
    <row r="10" spans="1:26">
      <c r="A10" s="4">
        <v>9</v>
      </c>
      <c r="B10" s="5">
        <v>6</v>
      </c>
      <c r="C10" s="3">
        <v>6</v>
      </c>
      <c r="D10" s="3">
        <v>5</v>
      </c>
      <c r="E10" s="3">
        <v>4</v>
      </c>
      <c r="F10" s="3">
        <v>6</v>
      </c>
      <c r="G10" s="3">
        <v>7</v>
      </c>
      <c r="H10" s="3">
        <v>8</v>
      </c>
      <c r="I10" s="3">
        <v>2</v>
      </c>
      <c r="J10" s="3">
        <v>10</v>
      </c>
      <c r="K10" s="3">
        <v>9</v>
      </c>
      <c r="L10" s="3">
        <v>3</v>
      </c>
      <c r="M10" s="3">
        <v>1</v>
      </c>
      <c r="N10" s="3">
        <v>7</v>
      </c>
      <c r="O10" s="3">
        <v>7</v>
      </c>
      <c r="P10" s="3">
        <v>6</v>
      </c>
      <c r="Q10" s="3">
        <v>7</v>
      </c>
      <c r="R10" s="3">
        <v>7</v>
      </c>
      <c r="S10" s="3">
        <v>6</v>
      </c>
      <c r="T10" s="3">
        <v>7</v>
      </c>
      <c r="U10" s="3">
        <v>6</v>
      </c>
      <c r="V10" s="3">
        <v>6</v>
      </c>
      <c r="W10" s="3">
        <v>7</v>
      </c>
      <c r="X10" s="3">
        <v>6</v>
      </c>
      <c r="Y10" s="3">
        <v>7</v>
      </c>
      <c r="Z10" s="3">
        <v>7</v>
      </c>
    </row>
    <row r="11" spans="1:26">
      <c r="A11" s="4">
        <v>10</v>
      </c>
      <c r="B11" s="5">
        <v>6</v>
      </c>
      <c r="C11" s="3">
        <v>6</v>
      </c>
      <c r="D11" s="3">
        <v>6</v>
      </c>
      <c r="E11" s="3">
        <v>5</v>
      </c>
      <c r="F11" s="3">
        <v>8</v>
      </c>
      <c r="G11" s="3">
        <v>9</v>
      </c>
      <c r="H11" s="3">
        <v>10</v>
      </c>
      <c r="I11" s="3">
        <v>3</v>
      </c>
      <c r="J11" s="3">
        <v>7</v>
      </c>
      <c r="K11" s="3">
        <v>2</v>
      </c>
      <c r="L11" s="3">
        <v>4</v>
      </c>
      <c r="M11" s="3">
        <v>1</v>
      </c>
      <c r="N11" s="3">
        <v>7</v>
      </c>
      <c r="O11" s="3">
        <v>7</v>
      </c>
      <c r="P11" s="3">
        <v>7</v>
      </c>
      <c r="Q11" s="3">
        <v>7</v>
      </c>
      <c r="R11" s="3">
        <v>7</v>
      </c>
      <c r="S11" s="3">
        <v>7</v>
      </c>
      <c r="T11" s="3">
        <v>7</v>
      </c>
      <c r="U11" s="3">
        <v>7</v>
      </c>
      <c r="V11" s="3">
        <v>7</v>
      </c>
      <c r="W11" s="3">
        <v>7</v>
      </c>
      <c r="X11" s="3">
        <v>7</v>
      </c>
      <c r="Y11" s="3">
        <v>7</v>
      </c>
      <c r="Z11" s="3">
        <v>7</v>
      </c>
    </row>
    <row r="12" spans="1:26">
      <c r="A12" s="4">
        <v>11</v>
      </c>
      <c r="B12" s="5">
        <v>6</v>
      </c>
      <c r="C12" s="3">
        <v>5</v>
      </c>
      <c r="D12" s="3">
        <v>6</v>
      </c>
      <c r="E12" s="3">
        <v>3</v>
      </c>
      <c r="F12" s="3">
        <v>7</v>
      </c>
      <c r="G12" s="3">
        <v>8</v>
      </c>
      <c r="H12" s="3">
        <v>9</v>
      </c>
      <c r="I12" s="3">
        <v>1</v>
      </c>
      <c r="J12" s="3">
        <v>5</v>
      </c>
      <c r="K12" s="3">
        <v>10</v>
      </c>
      <c r="L12" s="3">
        <v>2</v>
      </c>
      <c r="M12" s="3">
        <v>4</v>
      </c>
      <c r="N12" s="3">
        <v>6</v>
      </c>
      <c r="O12" s="3">
        <v>5</v>
      </c>
      <c r="P12" s="3">
        <v>5</v>
      </c>
      <c r="Q12" s="3">
        <v>5</v>
      </c>
      <c r="R12" s="3">
        <v>6</v>
      </c>
      <c r="S12" s="3">
        <v>5</v>
      </c>
      <c r="T12" s="3">
        <v>6</v>
      </c>
      <c r="U12" s="3">
        <v>4</v>
      </c>
      <c r="V12" s="3">
        <v>6</v>
      </c>
      <c r="W12" s="3">
        <v>6</v>
      </c>
      <c r="X12" s="3">
        <v>4</v>
      </c>
      <c r="Y12" s="3">
        <v>5</v>
      </c>
      <c r="Z12" s="3">
        <v>5</v>
      </c>
    </row>
    <row r="13" spans="1:26">
      <c r="A13" s="4">
        <v>12</v>
      </c>
      <c r="B13" s="5">
        <v>6</v>
      </c>
      <c r="C13" s="3">
        <v>6</v>
      </c>
      <c r="D13" s="3">
        <v>3</v>
      </c>
      <c r="E13" s="3">
        <v>4</v>
      </c>
      <c r="F13" s="3">
        <v>5</v>
      </c>
      <c r="G13" s="3">
        <v>6</v>
      </c>
      <c r="H13" s="3">
        <v>2</v>
      </c>
      <c r="I13" s="3">
        <v>1</v>
      </c>
      <c r="J13" s="3">
        <v>7</v>
      </c>
      <c r="K13" s="3">
        <v>8</v>
      </c>
      <c r="L13" s="3">
        <v>9</v>
      </c>
      <c r="M13" s="3">
        <v>10</v>
      </c>
      <c r="N13" s="3">
        <v>7</v>
      </c>
      <c r="O13" s="3">
        <v>7</v>
      </c>
      <c r="P13" s="3">
        <v>7</v>
      </c>
      <c r="Q13" s="3">
        <v>7</v>
      </c>
      <c r="R13" s="3">
        <v>6</v>
      </c>
      <c r="S13" s="3">
        <v>6</v>
      </c>
      <c r="T13" s="3">
        <v>6</v>
      </c>
      <c r="U13" s="3">
        <v>5</v>
      </c>
      <c r="V13" s="3">
        <v>5</v>
      </c>
      <c r="W13" s="3">
        <v>5</v>
      </c>
      <c r="X13" s="3">
        <v>4</v>
      </c>
      <c r="Y13" s="3">
        <v>5</v>
      </c>
      <c r="Z13" s="3">
        <v>6</v>
      </c>
    </row>
    <row r="14" spans="1:26">
      <c r="A14" s="4">
        <v>13</v>
      </c>
      <c r="B14" s="5">
        <v>6</v>
      </c>
      <c r="C14" s="3">
        <v>5</v>
      </c>
      <c r="D14" s="3">
        <v>1</v>
      </c>
      <c r="E14" s="3">
        <v>2</v>
      </c>
      <c r="F14" s="3">
        <v>3</v>
      </c>
      <c r="G14" s="3">
        <v>6</v>
      </c>
      <c r="H14" s="3">
        <v>4</v>
      </c>
      <c r="I14" s="3">
        <v>8</v>
      </c>
      <c r="J14" s="3">
        <v>5</v>
      </c>
      <c r="K14" s="3">
        <v>7</v>
      </c>
      <c r="L14" s="3">
        <v>9</v>
      </c>
      <c r="M14" s="3">
        <v>10</v>
      </c>
      <c r="N14" s="3">
        <v>5</v>
      </c>
      <c r="O14" s="3">
        <v>6</v>
      </c>
      <c r="P14" s="3">
        <v>5</v>
      </c>
      <c r="Q14" s="3">
        <v>5</v>
      </c>
      <c r="R14" s="3">
        <v>5</v>
      </c>
      <c r="S14" s="3">
        <v>3</v>
      </c>
      <c r="T14" s="3">
        <v>5</v>
      </c>
      <c r="U14" s="3">
        <v>4</v>
      </c>
      <c r="V14" s="3">
        <v>5</v>
      </c>
      <c r="W14" s="3">
        <v>5</v>
      </c>
      <c r="X14" s="3">
        <v>6</v>
      </c>
      <c r="Y14" s="3">
        <v>4</v>
      </c>
      <c r="Z14" s="3">
        <v>4</v>
      </c>
    </row>
    <row r="15" spans="1:26">
      <c r="A15" s="4">
        <v>14</v>
      </c>
      <c r="B15" s="5">
        <v>7</v>
      </c>
      <c r="C15" s="3">
        <v>7</v>
      </c>
      <c r="D15" s="3">
        <v>7</v>
      </c>
      <c r="E15" s="3">
        <v>8</v>
      </c>
      <c r="F15" s="3">
        <v>9</v>
      </c>
      <c r="G15" s="3">
        <v>10</v>
      </c>
      <c r="H15" s="3">
        <v>6</v>
      </c>
      <c r="I15" s="3">
        <v>3</v>
      </c>
      <c r="J15" s="3">
        <v>4</v>
      </c>
      <c r="K15" s="3">
        <v>5</v>
      </c>
      <c r="L15" s="3">
        <v>1</v>
      </c>
      <c r="M15" s="3">
        <v>2</v>
      </c>
      <c r="N15" s="3">
        <v>6</v>
      </c>
      <c r="O15" s="3">
        <v>6</v>
      </c>
      <c r="P15" s="3">
        <v>7</v>
      </c>
      <c r="Q15" s="3">
        <v>7</v>
      </c>
      <c r="R15" s="3">
        <v>6</v>
      </c>
      <c r="S15" s="3">
        <v>5</v>
      </c>
      <c r="T15" s="3">
        <v>6</v>
      </c>
      <c r="U15" s="3">
        <v>6</v>
      </c>
      <c r="V15" s="3">
        <v>6</v>
      </c>
      <c r="W15" s="3">
        <v>5</v>
      </c>
      <c r="X15" s="3">
        <v>7</v>
      </c>
      <c r="Y15" s="3">
        <v>6</v>
      </c>
      <c r="Z15" s="3">
        <v>7</v>
      </c>
    </row>
    <row r="16" spans="1:26">
      <c r="A16" s="4">
        <v>15</v>
      </c>
      <c r="B16" s="5">
        <v>5</v>
      </c>
      <c r="C16" s="3">
        <v>5</v>
      </c>
      <c r="D16" s="3">
        <v>7</v>
      </c>
      <c r="E16" s="3">
        <v>8</v>
      </c>
      <c r="F16" s="3">
        <v>9</v>
      </c>
      <c r="G16" s="3">
        <v>10</v>
      </c>
      <c r="H16" s="3">
        <v>6</v>
      </c>
      <c r="I16" s="3">
        <v>1</v>
      </c>
      <c r="J16" s="3">
        <v>5</v>
      </c>
      <c r="K16" s="3">
        <v>3</v>
      </c>
      <c r="L16" s="3">
        <v>2</v>
      </c>
      <c r="M16" s="3">
        <v>4</v>
      </c>
      <c r="N16" s="3">
        <v>5</v>
      </c>
      <c r="O16" s="3">
        <v>5</v>
      </c>
      <c r="P16" s="3">
        <v>5</v>
      </c>
      <c r="Q16" s="3">
        <v>5</v>
      </c>
      <c r="R16" s="3">
        <v>5</v>
      </c>
      <c r="S16" s="3">
        <v>5</v>
      </c>
      <c r="T16" s="3">
        <v>5</v>
      </c>
      <c r="U16" s="3">
        <v>5</v>
      </c>
      <c r="V16" s="3">
        <v>5</v>
      </c>
      <c r="W16" s="3">
        <v>5</v>
      </c>
      <c r="X16" s="3">
        <v>5</v>
      </c>
      <c r="Y16" s="3">
        <v>5</v>
      </c>
      <c r="Z16" s="3">
        <v>5</v>
      </c>
    </row>
    <row r="17" spans="1:26">
      <c r="A17" s="4">
        <v>16</v>
      </c>
      <c r="B17" s="5">
        <v>4</v>
      </c>
      <c r="C17" s="3">
        <v>3</v>
      </c>
      <c r="D17" s="3">
        <v>10</v>
      </c>
      <c r="E17" s="3">
        <v>4</v>
      </c>
      <c r="F17" s="3">
        <v>6</v>
      </c>
      <c r="G17" s="3">
        <v>8</v>
      </c>
      <c r="H17" s="3">
        <v>9</v>
      </c>
      <c r="I17" s="3">
        <v>1</v>
      </c>
      <c r="J17" s="3">
        <v>2</v>
      </c>
      <c r="K17" s="3">
        <v>3</v>
      </c>
      <c r="L17" s="3">
        <v>5</v>
      </c>
      <c r="M17" s="3">
        <v>7</v>
      </c>
      <c r="N17" s="3">
        <v>5</v>
      </c>
      <c r="O17" s="3">
        <v>6</v>
      </c>
      <c r="P17" s="3">
        <v>5</v>
      </c>
      <c r="Q17" s="3">
        <v>4</v>
      </c>
      <c r="R17" s="3">
        <v>6</v>
      </c>
      <c r="S17" s="3">
        <v>6</v>
      </c>
      <c r="T17" s="3">
        <v>4</v>
      </c>
      <c r="U17" s="3">
        <v>3</v>
      </c>
      <c r="V17" s="3">
        <v>6</v>
      </c>
      <c r="W17" s="3">
        <v>6</v>
      </c>
      <c r="X17" s="3">
        <v>4</v>
      </c>
      <c r="Y17" s="3">
        <v>3</v>
      </c>
      <c r="Z17" s="3">
        <v>4</v>
      </c>
    </row>
    <row r="18" spans="1:26">
      <c r="A18" s="4">
        <v>17</v>
      </c>
      <c r="B18" s="5">
        <v>5</v>
      </c>
      <c r="C18" s="3">
        <v>6</v>
      </c>
      <c r="D18" s="3">
        <v>7</v>
      </c>
      <c r="E18" s="3">
        <v>8</v>
      </c>
      <c r="F18" s="3">
        <v>10</v>
      </c>
      <c r="G18" s="3">
        <v>4</v>
      </c>
      <c r="H18" s="3">
        <v>5</v>
      </c>
      <c r="I18" s="3">
        <v>9</v>
      </c>
      <c r="J18" s="3">
        <v>1</v>
      </c>
      <c r="K18" s="3">
        <v>6</v>
      </c>
      <c r="L18" s="3">
        <v>2</v>
      </c>
      <c r="M18" s="3">
        <v>3</v>
      </c>
      <c r="N18" s="3">
        <v>5</v>
      </c>
      <c r="O18" s="3">
        <v>6</v>
      </c>
      <c r="P18" s="3">
        <v>7</v>
      </c>
      <c r="Q18" s="3">
        <v>4</v>
      </c>
      <c r="R18" s="3">
        <v>4</v>
      </c>
      <c r="S18" s="3">
        <v>6</v>
      </c>
      <c r="T18" s="3">
        <v>4</v>
      </c>
      <c r="U18" s="3">
        <v>5</v>
      </c>
      <c r="V18" s="3">
        <v>6</v>
      </c>
      <c r="W18" s="3">
        <v>5</v>
      </c>
      <c r="X18" s="3">
        <v>5</v>
      </c>
      <c r="Y18" s="3">
        <v>5</v>
      </c>
      <c r="Z18" s="3">
        <v>7</v>
      </c>
    </row>
    <row r="19" spans="1:26">
      <c r="A19" s="4">
        <v>18</v>
      </c>
      <c r="B19" s="5">
        <v>7</v>
      </c>
      <c r="C19" s="3">
        <v>7</v>
      </c>
      <c r="D19" s="3">
        <v>4</v>
      </c>
      <c r="E19" s="3">
        <v>5</v>
      </c>
      <c r="F19" s="3">
        <v>9</v>
      </c>
      <c r="G19" s="3">
        <v>6</v>
      </c>
      <c r="H19" s="3">
        <v>7</v>
      </c>
      <c r="I19" s="3">
        <v>10</v>
      </c>
      <c r="J19" s="3">
        <v>1</v>
      </c>
      <c r="K19" s="3">
        <v>8</v>
      </c>
      <c r="L19" s="3">
        <v>2</v>
      </c>
      <c r="M19" s="3">
        <v>3</v>
      </c>
      <c r="N19" s="3">
        <v>6</v>
      </c>
      <c r="O19" s="3">
        <v>7</v>
      </c>
      <c r="P19" s="3">
        <v>6</v>
      </c>
      <c r="Q19" s="3">
        <v>6</v>
      </c>
      <c r="R19" s="3">
        <v>5</v>
      </c>
      <c r="S19" s="3">
        <v>7</v>
      </c>
      <c r="T19" s="3">
        <v>7</v>
      </c>
      <c r="U19" s="3">
        <v>6</v>
      </c>
      <c r="V19" s="3">
        <v>5</v>
      </c>
      <c r="W19" s="3">
        <v>6</v>
      </c>
      <c r="X19" s="3">
        <v>6</v>
      </c>
      <c r="Y19" s="3">
        <v>6</v>
      </c>
      <c r="Z19" s="3">
        <v>5</v>
      </c>
    </row>
    <row r="20" spans="1:26">
      <c r="A20" s="4">
        <v>19</v>
      </c>
      <c r="B20" s="5">
        <v>7</v>
      </c>
      <c r="C20" s="3">
        <v>7</v>
      </c>
      <c r="D20" s="3">
        <v>7</v>
      </c>
      <c r="E20" s="3">
        <v>1</v>
      </c>
      <c r="F20" s="3">
        <v>8</v>
      </c>
      <c r="G20" s="3">
        <v>10</v>
      </c>
      <c r="H20" s="3">
        <v>6</v>
      </c>
      <c r="I20" s="3">
        <v>5</v>
      </c>
      <c r="J20" s="3">
        <v>9</v>
      </c>
      <c r="K20" s="3">
        <v>2</v>
      </c>
      <c r="L20" s="3">
        <v>3</v>
      </c>
      <c r="M20" s="3">
        <v>4</v>
      </c>
      <c r="N20" s="3">
        <v>4</v>
      </c>
      <c r="O20" s="3">
        <v>7</v>
      </c>
      <c r="P20" s="3">
        <v>7</v>
      </c>
      <c r="Q20" s="3">
        <v>7</v>
      </c>
      <c r="R20" s="3">
        <v>7</v>
      </c>
      <c r="S20" s="3">
        <v>7</v>
      </c>
      <c r="T20" s="3">
        <v>7</v>
      </c>
      <c r="U20" s="3">
        <v>7</v>
      </c>
      <c r="V20" s="3">
        <v>7</v>
      </c>
      <c r="W20" s="3">
        <v>7</v>
      </c>
      <c r="X20" s="3">
        <v>7</v>
      </c>
      <c r="Y20" s="3">
        <v>7</v>
      </c>
      <c r="Z20" s="3">
        <v>7</v>
      </c>
    </row>
    <row r="21" spans="1:26">
      <c r="A21" s="4">
        <v>20</v>
      </c>
      <c r="B21" s="5">
        <v>6</v>
      </c>
      <c r="C21" s="3">
        <v>7</v>
      </c>
      <c r="D21" s="3">
        <v>6</v>
      </c>
      <c r="E21" s="3">
        <v>5</v>
      </c>
      <c r="F21" s="3">
        <v>7</v>
      </c>
      <c r="G21" s="3">
        <v>4</v>
      </c>
      <c r="H21" s="3">
        <v>3</v>
      </c>
      <c r="I21" s="3">
        <v>8</v>
      </c>
      <c r="J21" s="3">
        <v>1</v>
      </c>
      <c r="K21" s="3">
        <v>10</v>
      </c>
      <c r="L21" s="3">
        <v>2</v>
      </c>
      <c r="M21" s="3">
        <v>9</v>
      </c>
      <c r="N21" s="3">
        <v>7</v>
      </c>
      <c r="O21" s="3">
        <v>6</v>
      </c>
      <c r="P21" s="3">
        <v>6</v>
      </c>
      <c r="Q21" s="3">
        <v>5</v>
      </c>
      <c r="R21" s="3">
        <v>6</v>
      </c>
      <c r="S21" s="3">
        <v>7</v>
      </c>
      <c r="T21" s="3">
        <v>5</v>
      </c>
      <c r="U21" s="3">
        <v>6</v>
      </c>
      <c r="V21" s="3">
        <v>7</v>
      </c>
      <c r="W21" s="3">
        <v>6</v>
      </c>
      <c r="X21" s="3">
        <v>7</v>
      </c>
      <c r="Y21" s="3">
        <v>7</v>
      </c>
      <c r="Z21" s="3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PCA之后的结果</vt:lpstr>
      <vt:lpstr>总表</vt:lpstr>
      <vt:lpstr>流线长度</vt:lpstr>
      <vt:lpstr>行为时长</vt:lpstr>
      <vt:lpstr>各区域停留时长</vt:lpstr>
      <vt:lpstr>问卷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工程</dc:creator>
  <cp:lastModifiedBy>研究生院</cp:lastModifiedBy>
  <dcterms:created xsi:type="dcterms:W3CDTF">2023-05-12T11:15:00Z</dcterms:created>
  <dcterms:modified xsi:type="dcterms:W3CDTF">2025-03-11T14:59:04Z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FFF58F14C6844EF99BCF9881239592B2_12</vt:lpwstr>
  </property>
</Properties>
</file>