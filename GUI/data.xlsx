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 activeTab="1"/>
  </bookViews>
  <sheets>
    <sheet name="Sheet2" sheetId="2" r:id="rId1"/>
    <sheet name="Sheet3" sheetId="3" r:id="rId2"/>
    <sheet name="Sheet1" sheetId="1" r:id="rId3"/>
    <sheet name="PCA" sheetId="5" r:id="rId4"/>
    <sheet name="行为数据" sheetId="6" r:id="rId5"/>
    <sheet name="定位数据" sheetId="7" r:id="rId6"/>
    <sheet name="问卷数据" sheetId="8" r:id="rId7"/>
    <sheet name="物理量环境数据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<sst xmlns="http://schemas.openxmlformats.org/spreadsheetml/2006/main" count="2032" uniqueCount="285">
  <si>
    <t>空间</t>
  </si>
  <si>
    <r>
      <t>空间面积(m</t>
    </r>
    <r>
      <rPr>
        <b/>
        <vertAlign val="super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>)</t>
    </r>
  </si>
  <si>
    <t>空间净高(m)</t>
  </si>
  <si>
    <t>到访频次(人次)</t>
  </si>
  <si>
    <t>人均停留时长(s)</t>
  </si>
  <si>
    <t>人均流线长度(m)</t>
  </si>
  <si>
    <t>人员平均速率（m/min）</t>
  </si>
  <si>
    <t>平均观展时长(s)</t>
  </si>
  <si>
    <t>平均交流时长(s)</t>
  </si>
  <si>
    <t>平均休息时长(s)</t>
  </si>
  <si>
    <t>其他行为平均时长(s)</t>
  </si>
  <si>
    <t>光照强度(Lux)</t>
  </si>
  <si>
    <t>温度(℃)</t>
  </si>
  <si>
    <t>湿度(%)</t>
  </si>
  <si>
    <t>评价得分</t>
  </si>
  <si>
    <t>主门厅</t>
  </si>
  <si>
    <t>主题展厅</t>
  </si>
  <si>
    <t>一层过厅1</t>
  </si>
  <si>
    <t>一层过厅2</t>
  </si>
  <si>
    <t>影像厅</t>
  </si>
  <si>
    <t>第一展厅</t>
  </si>
  <si>
    <t>第二展厅</t>
  </si>
  <si>
    <t>二层过厅</t>
  </si>
  <si>
    <t>第三展厅</t>
  </si>
  <si>
    <t>第四展厅</t>
  </si>
  <si>
    <t>临时展厅</t>
  </si>
  <si>
    <t>人员组别</t>
  </si>
  <si>
    <t>组内序号</t>
  </si>
  <si>
    <t>流线长度（米）</t>
  </si>
  <si>
    <t>其他区域</t>
  </si>
  <si>
    <t>流线长度</t>
  </si>
  <si>
    <t xml:space="preserve">参观时间 </t>
  </si>
  <si>
    <t>速率</t>
  </si>
  <si>
    <t>区域面积</t>
  </si>
  <si>
    <t>到访人数</t>
  </si>
  <si>
    <t>平均停留时长</t>
  </si>
  <si>
    <t>基础数据</t>
  </si>
  <si>
    <r>
      <rPr>
        <b/>
        <sz val="11"/>
        <color theme="1"/>
        <rFont val="宋体"/>
        <charset val="134"/>
        <scheme val="minor"/>
      </rPr>
      <t>空间面积(m</t>
    </r>
    <r>
      <rPr>
        <b/>
        <vertAlign val="super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>)</t>
    </r>
  </si>
  <si>
    <t>定位数据</t>
  </si>
  <si>
    <t>行为数据</t>
  </si>
  <si>
    <t>物理环境数据</t>
  </si>
  <si>
    <t>指标</t>
  </si>
  <si>
    <t>第一主成分</t>
  </si>
  <si>
    <t>第二主成分</t>
  </si>
  <si>
    <t>第三主成分</t>
  </si>
  <si>
    <t>第四主成分</t>
  </si>
  <si>
    <t>第五主成分</t>
  </si>
  <si>
    <t>第六主成分</t>
  </si>
  <si>
    <t>空间面积</t>
  </si>
  <si>
    <t>空间净高</t>
  </si>
  <si>
    <t>到访频次</t>
  </si>
  <si>
    <t>人均停留时长</t>
  </si>
  <si>
    <t>人均流线长度</t>
  </si>
  <si>
    <t>人员平均速率</t>
  </si>
  <si>
    <t>平均观展时长</t>
  </si>
  <si>
    <t>平均交流时长</t>
  </si>
  <si>
    <t>平均休息时长</t>
  </si>
  <si>
    <t>其他行为平均时长</t>
  </si>
  <si>
    <t>光照强度</t>
  </si>
  <si>
    <t>温度</t>
  </si>
  <si>
    <t>湿度</t>
  </si>
  <si>
    <t>序号</t>
  </si>
  <si>
    <t>人员ID</t>
  </si>
  <si>
    <t>行为
编号</t>
  </si>
  <si>
    <t>X坐标</t>
  </si>
  <si>
    <t>Y坐标</t>
  </si>
  <si>
    <t>开始时间</t>
  </si>
  <si>
    <t>结束时间</t>
  </si>
  <si>
    <t>9.34</t>
  </si>
  <si>
    <t>9.35</t>
  </si>
  <si>
    <t>9.38</t>
  </si>
  <si>
    <t>9.39</t>
  </si>
  <si>
    <t>2</t>
  </si>
  <si>
    <t>9.41</t>
  </si>
  <si>
    <t>9.42</t>
  </si>
  <si>
    <t>9.43</t>
  </si>
  <si>
    <t>9.44</t>
  </si>
  <si>
    <t>3</t>
  </si>
  <si>
    <t>9.45</t>
  </si>
  <si>
    <t>9.46</t>
  </si>
  <si>
    <t>9.47</t>
  </si>
  <si>
    <t>9.48</t>
  </si>
  <si>
    <t>9.49</t>
  </si>
  <si>
    <t>9.50</t>
  </si>
  <si>
    <t>9.51</t>
  </si>
  <si>
    <t>9.52</t>
  </si>
  <si>
    <t>9.53</t>
  </si>
  <si>
    <t>9.55</t>
  </si>
  <si>
    <t>9.56</t>
  </si>
  <si>
    <t>9.57</t>
  </si>
  <si>
    <t>9.58</t>
  </si>
  <si>
    <t>9.59</t>
  </si>
  <si>
    <t>10.00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</si>
  <si>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</si>
  <si>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</si>
  <si>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</si>
  <si>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</si>
  <si>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</si>
  <si>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</si>
  <si>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</si>
  <si>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</si>
  <si>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</si>
  <si>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10.10</t>
  </si>
  <si>
    <t>10.11</t>
  </si>
  <si>
    <t>10.12</t>
  </si>
  <si>
    <t>10.13</t>
  </si>
  <si>
    <t>10.14</t>
  </si>
  <si>
    <t>10.19</t>
  </si>
  <si>
    <t>10.15</t>
  </si>
  <si>
    <t>10.16</t>
  </si>
  <si>
    <t>10.20</t>
  </si>
  <si>
    <t>10.21</t>
  </si>
  <si>
    <t>10.24</t>
  </si>
  <si>
    <t>10.25</t>
  </si>
  <si>
    <t>10.28</t>
  </si>
  <si>
    <t>10.29</t>
  </si>
  <si>
    <t>10.30</t>
  </si>
  <si>
    <t>10.31</t>
  </si>
  <si>
    <t>10.32</t>
  </si>
  <si>
    <t>10.33</t>
  </si>
  <si>
    <t>10.35</t>
  </si>
  <si>
    <t>10.36</t>
  </si>
  <si>
    <t>10.37</t>
  </si>
  <si>
    <t>10.39</t>
  </si>
  <si>
    <t>10.41</t>
  </si>
  <si>
    <t>10.42</t>
  </si>
  <si>
    <t>10.43</t>
  </si>
  <si>
    <t>10.44</t>
  </si>
  <si>
    <t>10.45</t>
  </si>
  <si>
    <t>10.46</t>
  </si>
  <si>
    <t>10.48</t>
  </si>
  <si>
    <t>10.49</t>
  </si>
  <si>
    <t>10.50</t>
  </si>
  <si>
    <t>11.01</t>
  </si>
  <si>
    <t>11.00</t>
  </si>
  <si>
    <t>11.20</t>
  </si>
  <si>
    <t>11.30</t>
  </si>
  <si>
    <t>11.33</t>
  </si>
  <si>
    <t>11.49</t>
  </si>
  <si>
    <t>11.51</t>
  </si>
  <si>
    <t>11.52</t>
  </si>
  <si>
    <t>9.40</t>
  </si>
  <si>
    <t>9.54</t>
  </si>
  <si>
    <t>10.38</t>
  </si>
  <si>
    <t>14.30</t>
  </si>
  <si>
    <t>14.31</t>
  </si>
  <si>
    <t>14.32</t>
  </si>
  <si>
    <t>14.33</t>
  </si>
  <si>
    <t>14.35</t>
  </si>
  <si>
    <t>14.36</t>
  </si>
  <si>
    <t>14.37</t>
  </si>
  <si>
    <t>14.38</t>
  </si>
  <si>
    <t>14.39</t>
  </si>
  <si>
    <t>14.40</t>
  </si>
  <si>
    <t>14.41</t>
  </si>
  <si>
    <t>14.42</t>
  </si>
  <si>
    <t>14.43</t>
  </si>
  <si>
    <t>14.44</t>
  </si>
  <si>
    <t>14.47</t>
  </si>
  <si>
    <t>14.49</t>
  </si>
  <si>
    <t>14.50</t>
  </si>
  <si>
    <t>14.51</t>
  </si>
  <si>
    <t>14.52</t>
  </si>
  <si>
    <t>14.53</t>
  </si>
  <si>
    <t>14.54</t>
  </si>
  <si>
    <t>14.55</t>
  </si>
  <si>
    <t>14.56</t>
  </si>
  <si>
    <t>14.59</t>
  </si>
  <si>
    <t>15.00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</si>
  <si>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</si>
  <si>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</si>
  <si>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</si>
  <si>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</si>
  <si>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</si>
  <si>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</si>
  <si>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</si>
  <si>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</si>
  <si>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</si>
  <si>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</si>
  <si>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</si>
  <si>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</si>
  <si>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15.13</t>
  </si>
  <si>
    <t>15.14</t>
  </si>
  <si>
    <t>15.15</t>
  </si>
  <si>
    <t>9.32</t>
  </si>
  <si>
    <t>9.33</t>
  </si>
  <si>
    <t>9.37</t>
  </si>
  <si>
    <t>10.17</t>
  </si>
  <si>
    <t>10.18</t>
  </si>
  <si>
    <t>10.22</t>
  </si>
  <si>
    <t>10.23</t>
  </si>
  <si>
    <t>10.26</t>
  </si>
  <si>
    <t>10.27</t>
  </si>
  <si>
    <t>10.40</t>
  </si>
  <si>
    <t>11.06</t>
  </si>
  <si>
    <t>11.07</t>
  </si>
  <si>
    <t>11.08</t>
  </si>
  <si>
    <t>11.09</t>
  </si>
  <si>
    <t>11.11</t>
  </si>
  <si>
    <t>11.12</t>
  </si>
  <si>
    <t>11.14</t>
  </si>
  <si>
    <t>11.15</t>
  </si>
  <si>
    <t>11.16</t>
  </si>
  <si>
    <t>11.17</t>
  </si>
  <si>
    <t>11.18</t>
  </si>
  <si>
    <t>11.19</t>
  </si>
  <si>
    <t>11.21</t>
  </si>
  <si>
    <t>11.22</t>
  </si>
  <si>
    <t>11.23</t>
  </si>
  <si>
    <t>11.24</t>
  </si>
  <si>
    <t>11.25</t>
  </si>
  <si>
    <t>11.27</t>
  </si>
  <si>
    <t>11.28</t>
  </si>
  <si>
    <t>11.29</t>
  </si>
  <si>
    <t>11.31</t>
  </si>
  <si>
    <t>11.32</t>
  </si>
  <si>
    <t>11.34</t>
  </si>
  <si>
    <t>11.35</t>
  </si>
  <si>
    <t>11.38</t>
  </si>
  <si>
    <t>11.39</t>
  </si>
  <si>
    <t>11.40</t>
  </si>
  <si>
    <t>11.41</t>
  </si>
  <si>
    <t>11.42</t>
  </si>
  <si>
    <t>11.43</t>
  </si>
  <si>
    <t>11.44</t>
  </si>
  <si>
    <t>11.45</t>
  </si>
  <si>
    <t>11.46</t>
  </si>
  <si>
    <t>11.47</t>
  </si>
  <si>
    <t>11.48</t>
  </si>
  <si>
    <t>11.50</t>
  </si>
  <si>
    <t>9.36</t>
  </si>
  <si>
    <t>10.34</t>
  </si>
  <si>
    <t>10.51</t>
  </si>
  <si>
    <t>10.54</t>
  </si>
  <si>
    <t>10.57</t>
  </si>
  <si>
    <t>11.10</t>
  </si>
  <si>
    <t>10.53</t>
  </si>
  <si>
    <t>10.56</t>
  </si>
  <si>
    <t>10.58</t>
  </si>
  <si>
    <t>10.59</t>
  </si>
  <si>
    <t>11.03</t>
  </si>
  <si>
    <t>11.36</t>
  </si>
  <si>
    <t>14.58</t>
  </si>
  <si>
    <t>15.16</t>
  </si>
  <si>
    <t>15.19</t>
  </si>
  <si>
    <t>15.22</t>
  </si>
  <si>
    <t>15.24</t>
  </si>
  <si>
    <t>15.27</t>
  </si>
  <si>
    <t>15.29</t>
  </si>
  <si>
    <t>15.35</t>
  </si>
  <si>
    <t>15.41</t>
  </si>
  <si>
    <t>15.46</t>
  </si>
  <si>
    <t>15.51</t>
  </si>
  <si>
    <t>15.53</t>
  </si>
  <si>
    <t>15.54</t>
  </si>
  <si>
    <t>15.56</t>
  </si>
  <si>
    <t>11.26</t>
  </si>
  <si>
    <t xml:space="preserve"> 9.46</t>
  </si>
  <si>
    <t>11.37</t>
  </si>
  <si>
    <t>10</t>
  </si>
  <si>
    <t>10.52</t>
  </si>
  <si>
    <t>11</t>
  </si>
  <si>
    <t>11.53</t>
  </si>
  <si>
    <t>11.55</t>
  </si>
  <si>
    <t>11.56</t>
  </si>
  <si>
    <t>11.57</t>
  </si>
  <si>
    <t>11.58</t>
  </si>
  <si>
    <t>11.59</t>
  </si>
  <si>
    <t>12.01</t>
  </si>
  <si>
    <t>12.03</t>
  </si>
  <si>
    <t>12.08</t>
  </si>
  <si>
    <t>12.10</t>
  </si>
  <si>
    <t>人员
ID</t>
  </si>
  <si>
    <t>时间</t>
  </si>
  <si>
    <t>人员编号</t>
  </si>
  <si>
    <t>整体满意度</t>
  </si>
  <si>
    <t>光照</t>
  </si>
  <si>
    <t>展品内容</t>
  </si>
  <si>
    <t>观展流线</t>
  </si>
  <si>
    <t>布局</t>
  </si>
  <si>
    <t>横坐标（X）</t>
  </si>
  <si>
    <t>纵坐标（Y）</t>
  </si>
  <si>
    <t>参数1</t>
  </si>
  <si>
    <t>参数2</t>
  </si>
  <si>
    <t>参数3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</si>
</sst>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_ "/>
    <numFmt numFmtId="179" formatCode="0_ "/>
  </numFmts>
  <fonts count="3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9"/>
      <color theme="1"/>
      <name val="Calibri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rgb="FF000008"/>
      <name val="Times New Roman"/>
      <charset val="134"/>
    </font>
    <font>
      <sz val="9"/>
      <color rgb="FF000008"/>
      <name val="PingFangSC-Regular"/>
      <charset val="134"/>
    </font>
    <font>
      <sz val="9"/>
      <name val="Calibri"/>
      <charset val="134"/>
    </font>
    <font>
      <b/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5" fillId="0" borderId="0"/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5" fillId="0" borderId="1" xfId="49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top" wrapText="1"/>
    </xf>
    <xf numFmtId="177" fontId="0" fillId="0" borderId="1" xfId="0" applyNumberForma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各区域游客速率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7474667719437"/>
          <c:y val="0.101234567901235"/>
          <c:w val="0.89424924332149"/>
          <c:h val="0.6934320987654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Sheet1!$C$2:$M$2</c:f>
              <c:strCache>
                <c:ptCount val="11"/>
                <c:pt idx="0">
                  <c:v>主门厅</c:v>
                </c:pt>
                <c:pt idx="1">
                  <c:v>主题展厅</c:v>
                </c:pt>
                <c:pt idx="2">
                  <c:v>一层过厅1</c:v>
                </c:pt>
                <c:pt idx="3">
                  <c:v>一层过厅2</c:v>
                </c:pt>
                <c:pt idx="4">
                  <c:v>影像厅</c:v>
                </c:pt>
                <c:pt idx="5">
                  <c:v>第一展厅</c:v>
                </c:pt>
                <c:pt idx="6">
                  <c:v>第二展厅</c:v>
                </c:pt>
                <c:pt idx="7">
                  <c:v>二层过厅</c:v>
                </c:pt>
                <c:pt idx="8">
                  <c:v>第三展厅</c:v>
                </c:pt>
                <c:pt idx="9">
                  <c:v>第四展厅</c:v>
                </c:pt>
                <c:pt idx="10">
                  <c:v>临时展厅</c:v>
                </c:pt>
              </c:strCache>
            </c:strRef>
          </c:cat>
          <c:val>
            <c:numRef>
              <c:f>Sheet1!$C$25:$M$25</c:f>
              <c:numCache>
                <c:formatCode>0.00_ </c:formatCode>
                <c:ptCount val="11"/>
                <c:pt idx="0">
                  <c:v>0.394890834792763</c:v>
                </c:pt>
                <c:pt idx="1">
                  <c:v>0.333888888888889</c:v>
                </c:pt>
                <c:pt idx="2">
                  <c:v>0.301036197295147</c:v>
                </c:pt>
                <c:pt idx="3">
                  <c:v>0.5485178041543</c:v>
                </c:pt>
                <c:pt idx="4">
                  <c:v>0.163424242424242</c:v>
                </c:pt>
                <c:pt idx="5">
                  <c:v>0.309457040373709</c:v>
                </c:pt>
                <c:pt idx="6">
                  <c:v>0.319993223537485</c:v>
                </c:pt>
                <c:pt idx="7">
                  <c:v>0.406267605633802</c:v>
                </c:pt>
                <c:pt idx="8">
                  <c:v>0.35898407528049</c:v>
                </c:pt>
                <c:pt idx="9">
                  <c:v>0.35607649667406</c:v>
                </c:pt>
                <c:pt idx="10">
                  <c:v>0.286916666666667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16659308"/>
        <c:axId val="921563326"/>
      </c:barChart>
      <c:catAx>
        <c:axId val="4166593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563326"/>
        <c:crosses val="autoZero"/>
        <c:auto val="1"/>
        <c:lblAlgn val="ctr"/>
        <c:lblOffset val="100"/>
        <c:noMultiLvlLbl val="0"/>
      </c:catAx>
      <c:valAx>
        <c:axId val="9215633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6593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637c45-71b1-4906-8bbb-d46a45a28a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各区域面积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Sheet1!$C$2:$M$2</c:f>
              <c:strCache>
                <c:ptCount val="11"/>
                <c:pt idx="0">
                  <c:v>主门厅</c:v>
                </c:pt>
                <c:pt idx="1">
                  <c:v>主题展厅</c:v>
                </c:pt>
                <c:pt idx="2">
                  <c:v>一层过厅1</c:v>
                </c:pt>
                <c:pt idx="3">
                  <c:v>一层过厅2</c:v>
                </c:pt>
                <c:pt idx="4">
                  <c:v>影像厅</c:v>
                </c:pt>
                <c:pt idx="5">
                  <c:v>第一展厅</c:v>
                </c:pt>
                <c:pt idx="6">
                  <c:v>第二展厅</c:v>
                </c:pt>
                <c:pt idx="7">
                  <c:v>二层过厅</c:v>
                </c:pt>
                <c:pt idx="8">
                  <c:v>第三展厅</c:v>
                </c:pt>
                <c:pt idx="9">
                  <c:v>第四展厅</c:v>
                </c:pt>
                <c:pt idx="10">
                  <c:v>临时展厅</c:v>
                </c:pt>
              </c:strCache>
            </c:strRef>
          </c:cat>
          <c:val>
            <c:numRef>
              <c:f>Sheet1!$C$26:$M$26</c:f>
              <c:numCache>
                <c:formatCode>0.0_ </c:formatCode>
                <c:ptCount val="11"/>
                <c:pt idx="0">
                  <c:v>1041.983</c:v>
                </c:pt>
                <c:pt idx="1">
                  <c:v>442.582</c:v>
                </c:pt>
                <c:pt idx="2">
                  <c:v>670.511</c:v>
                </c:pt>
                <c:pt idx="3">
                  <c:v>541.639</c:v>
                </c:pt>
                <c:pt idx="4">
                  <c:v>561.689</c:v>
                </c:pt>
                <c:pt idx="5">
                  <c:v>1281.405</c:v>
                </c:pt>
                <c:pt idx="6">
                  <c:v>1286.288</c:v>
                </c:pt>
                <c:pt idx="7">
                  <c:v>708.637</c:v>
                </c:pt>
                <c:pt idx="8">
                  <c:v>1639.038</c:v>
                </c:pt>
                <c:pt idx="9">
                  <c:v>328.779</c:v>
                </c:pt>
                <c:pt idx="10">
                  <c:v>298.2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5644320"/>
        <c:axId val="332760345"/>
      </c:barChart>
      <c:catAx>
        <c:axId val="85564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2760345"/>
        <c:crosses val="autoZero"/>
        <c:auto val="1"/>
        <c:lblAlgn val="ctr"/>
        <c:lblOffset val="100"/>
        <c:noMultiLvlLbl val="0"/>
      </c:catAx>
      <c:valAx>
        <c:axId val="3327603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56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67447c-684e-4a8d-93a8-99f7c770d3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Sheet1!$C$2:$M$2</c:f>
              <c:strCache>
                <c:ptCount val="11"/>
                <c:pt idx="0">
                  <c:v>主门厅</c:v>
                </c:pt>
                <c:pt idx="1">
                  <c:v>主题展厅</c:v>
                </c:pt>
                <c:pt idx="2">
                  <c:v>一层过厅1</c:v>
                </c:pt>
                <c:pt idx="3">
                  <c:v>一层过厅2</c:v>
                </c:pt>
                <c:pt idx="4">
                  <c:v>影像厅</c:v>
                </c:pt>
                <c:pt idx="5">
                  <c:v>第一展厅</c:v>
                </c:pt>
                <c:pt idx="6">
                  <c:v>第二展厅</c:v>
                </c:pt>
                <c:pt idx="7">
                  <c:v>二层过厅</c:v>
                </c:pt>
                <c:pt idx="8">
                  <c:v>第三展厅</c:v>
                </c:pt>
                <c:pt idx="9">
                  <c:v>第四展厅</c:v>
                </c:pt>
                <c:pt idx="10">
                  <c:v>临时展厅</c:v>
                </c:pt>
              </c:strCache>
            </c:strRef>
          </c:cat>
          <c:val>
            <c:numRef>
              <c:f>Sheet1!$C$24:$M$24</c:f>
              <c:numCache>
                <c:formatCode>General</c:formatCode>
                <c:ptCount val="11"/>
                <c:pt idx="0">
                  <c:v>57.0999999999998</c:v>
                </c:pt>
                <c:pt idx="1">
                  <c:v>70.5</c:v>
                </c:pt>
                <c:pt idx="2">
                  <c:v>125.7</c:v>
                </c:pt>
                <c:pt idx="3">
                  <c:v>33.7000000000002</c:v>
                </c:pt>
                <c:pt idx="4">
                  <c:v>33</c:v>
                </c:pt>
                <c:pt idx="5">
                  <c:v>199.799999999999</c:v>
                </c:pt>
                <c:pt idx="6">
                  <c:v>194.3</c:v>
                </c:pt>
                <c:pt idx="7">
                  <c:v>42.6000000000001</c:v>
                </c:pt>
                <c:pt idx="8">
                  <c:v>184.200000000001</c:v>
                </c:pt>
                <c:pt idx="9">
                  <c:v>45.0999999999997</c:v>
                </c:pt>
                <c:pt idx="10">
                  <c:v>30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Sheet1!$C$2:$M$2</c:f>
              <c:strCache>
                <c:ptCount val="11"/>
                <c:pt idx="0">
                  <c:v>主门厅</c:v>
                </c:pt>
                <c:pt idx="1">
                  <c:v>主题展厅</c:v>
                </c:pt>
                <c:pt idx="2">
                  <c:v>一层过厅1</c:v>
                </c:pt>
                <c:pt idx="3">
                  <c:v>一层过厅2</c:v>
                </c:pt>
                <c:pt idx="4">
                  <c:v>影像厅</c:v>
                </c:pt>
                <c:pt idx="5">
                  <c:v>第一展厅</c:v>
                </c:pt>
                <c:pt idx="6">
                  <c:v>第二展厅</c:v>
                </c:pt>
                <c:pt idx="7">
                  <c:v>二层过厅</c:v>
                </c:pt>
                <c:pt idx="8">
                  <c:v>第三展厅</c:v>
                </c:pt>
                <c:pt idx="9">
                  <c:v>第四展厅</c:v>
                </c:pt>
                <c:pt idx="10">
                  <c:v>临时展厅</c:v>
                </c:pt>
              </c:strCache>
            </c:strRef>
          </c:cat>
          <c:val>
            <c:numRef>
              <c:f>Sheet1!$C$26:$M$26</c:f>
              <c:numCache>
                <c:formatCode>0.0_ </c:formatCode>
                <c:ptCount val="11"/>
                <c:pt idx="0">
                  <c:v>1041.983</c:v>
                </c:pt>
                <c:pt idx="1">
                  <c:v>442.582</c:v>
                </c:pt>
                <c:pt idx="2">
                  <c:v>670.511</c:v>
                </c:pt>
                <c:pt idx="3">
                  <c:v>541.639</c:v>
                </c:pt>
                <c:pt idx="4">
                  <c:v>561.689</c:v>
                </c:pt>
                <c:pt idx="5">
                  <c:v>1281.405</c:v>
                </c:pt>
                <c:pt idx="6">
                  <c:v>1286.288</c:v>
                </c:pt>
                <c:pt idx="7">
                  <c:v>708.637</c:v>
                </c:pt>
                <c:pt idx="8">
                  <c:v>1639.038</c:v>
                </c:pt>
                <c:pt idx="9">
                  <c:v>328.779</c:v>
                </c:pt>
                <c:pt idx="10">
                  <c:v>298.2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76009"/>
        <c:axId val="684467297"/>
      </c:lineChart>
      <c:catAx>
        <c:axId val="1842760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467297"/>
        <c:crosses val="autoZero"/>
        <c:auto val="1"/>
        <c:lblAlgn val="ctr"/>
        <c:lblOffset val="100"/>
        <c:noMultiLvlLbl val="0"/>
      </c:catAx>
      <c:valAx>
        <c:axId val="6844672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2760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93deb55-0127-49e3-a3a7-119f2fb09f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各区域游客平均停留时长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Sheet1!$C$2:$M$2</c:f>
              <c:strCache>
                <c:ptCount val="11"/>
                <c:pt idx="0">
                  <c:v>主门厅</c:v>
                </c:pt>
                <c:pt idx="1">
                  <c:v>主题展厅</c:v>
                </c:pt>
                <c:pt idx="2">
                  <c:v>一层过厅1</c:v>
                </c:pt>
                <c:pt idx="3">
                  <c:v>一层过厅2</c:v>
                </c:pt>
                <c:pt idx="4">
                  <c:v>影像厅</c:v>
                </c:pt>
                <c:pt idx="5">
                  <c:v>第一展厅</c:v>
                </c:pt>
                <c:pt idx="6">
                  <c:v>第二展厅</c:v>
                </c:pt>
                <c:pt idx="7">
                  <c:v>二层过厅</c:v>
                </c:pt>
                <c:pt idx="8">
                  <c:v>第三展厅</c:v>
                </c:pt>
                <c:pt idx="9">
                  <c:v>第四展厅</c:v>
                </c:pt>
                <c:pt idx="10">
                  <c:v>临时展厅</c:v>
                </c:pt>
              </c:strCache>
            </c:strRef>
          </c:cat>
          <c:val>
            <c:numRef>
              <c:f>Sheet1!$C$28:$M$28</c:f>
              <c:numCache>
                <c:formatCode>0.0_ </c:formatCode>
                <c:ptCount val="11"/>
                <c:pt idx="0">
                  <c:v>2.85499999999999</c:v>
                </c:pt>
                <c:pt idx="1">
                  <c:v>3.525</c:v>
                </c:pt>
                <c:pt idx="2">
                  <c:v>6.285</c:v>
                </c:pt>
                <c:pt idx="3">
                  <c:v>1.98235294117648</c:v>
                </c:pt>
                <c:pt idx="4">
                  <c:v>5.5</c:v>
                </c:pt>
                <c:pt idx="5">
                  <c:v>11.7529411764705</c:v>
                </c:pt>
                <c:pt idx="6">
                  <c:v>10.2263157894737</c:v>
                </c:pt>
                <c:pt idx="7">
                  <c:v>3.04285714285715</c:v>
                </c:pt>
                <c:pt idx="8">
                  <c:v>13.1571428571429</c:v>
                </c:pt>
                <c:pt idx="9">
                  <c:v>3.22142857142855</c:v>
                </c:pt>
                <c:pt idx="10">
                  <c:v>4.28571428571429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6396226"/>
        <c:axId val="334706103"/>
      </c:barChart>
      <c:catAx>
        <c:axId val="663962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706103"/>
        <c:crosses val="autoZero"/>
        <c:auto val="1"/>
        <c:lblAlgn val="ctr"/>
        <c:lblOffset val="100"/>
        <c:noMultiLvlLbl val="0"/>
      </c:catAx>
      <c:valAx>
        <c:axId val="334706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962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08eeae-7a52-4eb7-921c-2a310cce46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PCA!$J$1:$J$10</c:f>
              <c:numCache>
                <c:formatCode>0.00_ </c:formatCode>
                <c:ptCount val="10"/>
                <c:pt idx="0">
                  <c:v>37.1651378296303</c:v>
                </c:pt>
                <c:pt idx="1">
                  <c:v>22.1205015177281</c:v>
                </c:pt>
                <c:pt idx="2">
                  <c:v>16.0967960694625</c:v>
                </c:pt>
                <c:pt idx="3">
                  <c:v>8.60187839803487</c:v>
                </c:pt>
                <c:pt idx="4">
                  <c:v>5.81016339779023</c:v>
                </c:pt>
                <c:pt idx="5">
                  <c:v>4.28548889904636</c:v>
                </c:pt>
                <c:pt idx="6">
                  <c:v>2.61210844819066</c:v>
                </c:pt>
                <c:pt idx="7">
                  <c:v>2.21135700953942</c:v>
                </c:pt>
                <c:pt idx="8">
                  <c:v>1.0611286438733</c:v>
                </c:pt>
                <c:pt idx="9">
                  <c:v>0.0354397867042966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91545517"/>
        <c:axId val="229580432"/>
      </c:barChart>
      <c:catAx>
        <c:axId val="3915455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580432"/>
        <c:crosses val="autoZero"/>
        <c:auto val="1"/>
        <c:lblAlgn val="ctr"/>
        <c:lblOffset val="100"/>
        <c:noMultiLvlLbl val="0"/>
      </c:catAx>
      <c:valAx>
        <c:axId val="2295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5455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97171c-2c43-4c2b-92ec-7552821609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219075</xdr:colOff>
      <xdr:row>27</xdr:row>
      <xdr:rowOff>165100</xdr:rowOff>
    </xdr:from>
    <xdr:to>
      <xdr:col>8</xdr:col>
      <xdr:colOff>577215</xdr:colOff>
      <xdr:row>41</xdr:row>
      <xdr:rowOff>165100</xdr:rowOff>
    </xdr:to>
    <xdr:graphicFrame>
      <xdr:nvGraphicFramePr>
        <xdr:cNvPr id="5" name="图表 4"/>
        <xdr:cNvGraphicFramePr/>
      </xdr:nvGraphicFramePr>
      <xdr:xfrm>
        <a:off x="4230370" y="6242050"/>
        <a:ext cx="4565650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28</xdr:row>
      <xdr:rowOff>41275</xdr:rowOff>
    </xdr:from>
    <xdr:to>
      <xdr:col>13</xdr:col>
      <xdr:colOff>549275</xdr:colOff>
      <xdr:row>44</xdr:row>
      <xdr:rowOff>41275</xdr:rowOff>
    </xdr:to>
    <xdr:graphicFrame>
      <xdr:nvGraphicFramePr>
        <xdr:cNvPr id="2" name="图表 1"/>
        <xdr:cNvGraphicFramePr/>
      </xdr:nvGraphicFramePr>
      <xdr:xfrm>
        <a:off x="9299575" y="6289675"/>
        <a:ext cx="4572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206375</xdr:colOff>
      <xdr:row>42</xdr:row>
      <xdr:rowOff>155575</xdr:rowOff>
    </xdr:from>
    <xdr:to>
      <xdr:col>9</xdr:col>
      <xdr:colOff>156210</xdr:colOff>
      <xdr:row>64</xdr:row>
      <xdr:rowOff>107950</xdr:rowOff>
    </xdr:to>
    <xdr:graphicFrame>
      <xdr:nvGraphicFramePr>
        <xdr:cNvPr id="12" name="图表 11"/>
        <xdr:cNvGraphicFramePr/>
      </xdr:nvGraphicFramePr>
      <xdr:xfrm>
        <a:off x="3213100" y="8804275"/>
        <a:ext cx="6166485" cy="3724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587375</xdr:colOff>
      <xdr:row>46</xdr:row>
      <xdr:rowOff>117475</xdr:rowOff>
    </xdr:from>
    <xdr:to>
      <xdr:col>13</xdr:col>
      <xdr:colOff>1060450</xdr:colOff>
      <xdr:row>62</xdr:row>
      <xdr:rowOff>117475</xdr:rowOff>
    </xdr:to>
    <xdr:graphicFrame>
      <xdr:nvGraphicFramePr>
        <xdr:cNvPr id="13" name="图表 12"/>
        <xdr:cNvGraphicFramePr/>
      </xdr:nvGraphicFramePr>
      <xdr:xfrm>
        <a:off x="9810750" y="9451975"/>
        <a:ext cx="4572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33020</xdr:colOff>
      <xdr:row>0</xdr:row>
      <xdr:rowOff>103505</xdr:rowOff>
    </xdr:from>
    <xdr:to>
      <xdr:col>18</xdr:col>
      <xdr:colOff>325120</xdr:colOff>
      <xdr:row>10</xdr:row>
      <xdr:rowOff>248285</xdr:rowOff>
    </xdr:to>
    <xdr:graphicFrame>
      <xdr:nvGraphicFramePr>
        <xdr:cNvPr id="3" name="图表 2"/>
        <xdr:cNvGraphicFramePr/>
      </xdr:nvGraphicFramePr>
      <xdr:xfrm>
        <a:off x="9881235" y="103505"/>
        <a:ext cx="4826000" cy="276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O4" sqref="O4"/>
    </sheetView>
  </sheetViews>
  <sheetFormatPr defaultColWidth="9.02654867256637" defaultRowHeight="13.5"/>
  <cols>
    <col min="1" max="1" width="9.53097345132743"/>
    <col min="6" max="7" width="9.53097345132743"/>
    <col min="9" max="10" width="9.53097345132743"/>
  </cols>
  <sheetData>
    <row r="1" spans="1:14">
      <c r="A1" s="11">
        <v>1042</v>
      </c>
      <c r="B1" s="11">
        <v>11</v>
      </c>
      <c r="C1" s="9">
        <v>20</v>
      </c>
      <c r="D1" s="39">
        <v>171.299999999999</v>
      </c>
      <c r="E1" s="40">
        <v>67.6448</v>
      </c>
      <c r="F1" s="40">
        <v>23.6934500875658</v>
      </c>
      <c r="G1" s="39">
        <v>41.0999999999994</v>
      </c>
      <c r="H1" s="39">
        <v>33.5999999999994</v>
      </c>
      <c r="I1" s="41">
        <v>84</v>
      </c>
      <c r="J1" s="39">
        <v>12.6000000000008</v>
      </c>
      <c r="K1" s="40">
        <v>2946.4</v>
      </c>
      <c r="L1" s="40">
        <v>25.2</v>
      </c>
      <c r="M1" s="40">
        <v>52.94</v>
      </c>
      <c r="N1" s="38">
        <v>83.4</v>
      </c>
    </row>
    <row r="2" spans="1:14">
      <c r="A2" s="11">
        <v>442.6</v>
      </c>
      <c r="B2" s="11">
        <v>13</v>
      </c>
      <c r="C2" s="9">
        <v>20</v>
      </c>
      <c r="D2" s="39">
        <v>211.5</v>
      </c>
      <c r="E2" s="40">
        <v>70.6175</v>
      </c>
      <c r="F2" s="40">
        <v>20.0333333333333</v>
      </c>
      <c r="G2" s="39">
        <v>190.8</v>
      </c>
      <c r="H2" s="39">
        <v>20.6999999999998</v>
      </c>
      <c r="I2" s="41">
        <v>0</v>
      </c>
      <c r="J2" s="41">
        <v>0</v>
      </c>
      <c r="K2" s="40">
        <v>320.4</v>
      </c>
      <c r="L2" s="40">
        <v>25.52</v>
      </c>
      <c r="M2" s="40">
        <v>51.46</v>
      </c>
      <c r="N2" s="38">
        <v>88.7</v>
      </c>
    </row>
    <row r="3" spans="1:14">
      <c r="A3" s="11">
        <v>670.5</v>
      </c>
      <c r="B3" s="11">
        <v>7</v>
      </c>
      <c r="C3" s="9">
        <v>20</v>
      </c>
      <c r="D3" s="39">
        <v>377.1</v>
      </c>
      <c r="E3" s="40">
        <v>113.52075</v>
      </c>
      <c r="F3" s="40">
        <v>18.0621718377088</v>
      </c>
      <c r="G3" s="39">
        <v>145.800000000001</v>
      </c>
      <c r="H3" s="39">
        <v>28.2000000000002</v>
      </c>
      <c r="I3" s="41">
        <v>183</v>
      </c>
      <c r="J3" s="39">
        <v>20.1</v>
      </c>
      <c r="K3" s="40">
        <v>439.8</v>
      </c>
      <c r="L3" s="40">
        <v>25.32</v>
      </c>
      <c r="M3" s="40">
        <v>50.8</v>
      </c>
      <c r="N3" s="38">
        <v>75.2</v>
      </c>
    </row>
    <row r="4" spans="1:14">
      <c r="A4" s="11">
        <v>541.6</v>
      </c>
      <c r="B4" s="11">
        <v>7</v>
      </c>
      <c r="C4" s="9">
        <v>17</v>
      </c>
      <c r="D4" s="39">
        <v>118.941176470589</v>
      </c>
      <c r="E4" s="40">
        <v>65.2413529411765</v>
      </c>
      <c r="F4" s="40">
        <v>32.911068249258</v>
      </c>
      <c r="G4" s="39">
        <v>53.2941176470595</v>
      </c>
      <c r="H4" s="39">
        <v>32.1176470588237</v>
      </c>
      <c r="I4" s="39">
        <v>7.05882352941162</v>
      </c>
      <c r="J4" s="39">
        <v>26.4705882352943</v>
      </c>
      <c r="K4" s="40">
        <v>194.2</v>
      </c>
      <c r="L4" s="40">
        <v>24.94</v>
      </c>
      <c r="M4" s="40">
        <v>51.46</v>
      </c>
      <c r="N4" s="38">
        <v>80.9</v>
      </c>
    </row>
    <row r="5" spans="1:14">
      <c r="A5" s="11">
        <v>561.7</v>
      </c>
      <c r="B5" s="11">
        <v>18.2</v>
      </c>
      <c r="C5" s="9">
        <v>6</v>
      </c>
      <c r="D5" s="39">
        <v>330</v>
      </c>
      <c r="E5" s="40">
        <v>53.93</v>
      </c>
      <c r="F5" s="40">
        <v>9.80545454545454</v>
      </c>
      <c r="G5" s="39">
        <v>118.000000000001</v>
      </c>
      <c r="H5" s="39">
        <v>7.00000000000002</v>
      </c>
      <c r="I5" s="41">
        <v>140</v>
      </c>
      <c r="J5" s="41">
        <v>64.9999999999992</v>
      </c>
      <c r="K5" s="40">
        <v>12.8</v>
      </c>
      <c r="L5" s="40">
        <v>25.06</v>
      </c>
      <c r="M5" s="40">
        <v>49.88</v>
      </c>
      <c r="N5" s="38">
        <v>71.3</v>
      </c>
    </row>
    <row r="6" spans="1:14">
      <c r="A6" s="11">
        <v>1281.4</v>
      </c>
      <c r="B6" s="11">
        <v>6.5</v>
      </c>
      <c r="C6" s="9">
        <v>17</v>
      </c>
      <c r="D6" s="39">
        <v>705.17647058823</v>
      </c>
      <c r="E6" s="40">
        <v>218.221823529412</v>
      </c>
      <c r="F6" s="40">
        <v>18.5674224224225</v>
      </c>
      <c r="G6" s="39">
        <v>595.411764705882</v>
      </c>
      <c r="H6" s="39">
        <v>62.4705882352944</v>
      </c>
      <c r="I6" s="39">
        <v>10.5882352941175</v>
      </c>
      <c r="J6" s="39">
        <v>36.7058823529412</v>
      </c>
      <c r="K6" s="40">
        <v>23.98</v>
      </c>
      <c r="L6" s="40">
        <v>24.1</v>
      </c>
      <c r="M6" s="40">
        <v>56.36</v>
      </c>
      <c r="N6" s="38">
        <v>83.6</v>
      </c>
    </row>
    <row r="7" spans="1:14">
      <c r="A7" s="11">
        <v>1286.3</v>
      </c>
      <c r="B7" s="11">
        <v>6.5</v>
      </c>
      <c r="C7" s="9">
        <v>19</v>
      </c>
      <c r="D7" s="39">
        <v>613.578947368422</v>
      </c>
      <c r="E7" s="40">
        <v>196.341105263158</v>
      </c>
      <c r="F7" s="40">
        <v>19.1995934122491</v>
      </c>
      <c r="G7" s="39">
        <v>505.894736842105</v>
      </c>
      <c r="H7" s="39">
        <v>97.5789473684208</v>
      </c>
      <c r="I7" s="39">
        <v>3.15789473684204</v>
      </c>
      <c r="J7" s="39">
        <v>6.94736842105266</v>
      </c>
      <c r="K7" s="40">
        <v>20.32</v>
      </c>
      <c r="L7" s="40">
        <v>24.52</v>
      </c>
      <c r="M7" s="40">
        <v>50.38</v>
      </c>
      <c r="N7" s="38">
        <v>86.8</v>
      </c>
    </row>
    <row r="8" spans="1:14">
      <c r="A8" s="11">
        <v>708.6</v>
      </c>
      <c r="B8" s="11">
        <v>7</v>
      </c>
      <c r="C8" s="9">
        <v>14</v>
      </c>
      <c r="D8" s="39">
        <v>182.571428571429</v>
      </c>
      <c r="E8" s="40">
        <v>74.1728571428572</v>
      </c>
      <c r="F8" s="40">
        <v>24.3760563380281</v>
      </c>
      <c r="G8" s="39">
        <v>28.285714285714</v>
      </c>
      <c r="H8" s="39">
        <v>60.0000000000006</v>
      </c>
      <c r="I8" s="39">
        <v>77.1428571428574</v>
      </c>
      <c r="J8" s="39">
        <v>17.1428571428569</v>
      </c>
      <c r="K8" s="40">
        <v>489</v>
      </c>
      <c r="L8" s="40">
        <v>25.15</v>
      </c>
      <c r="M8" s="40">
        <v>52.88</v>
      </c>
      <c r="N8" s="38">
        <v>78.9</v>
      </c>
    </row>
    <row r="9" spans="1:14">
      <c r="A9" s="11">
        <v>1639</v>
      </c>
      <c r="B9" s="11">
        <v>8.3</v>
      </c>
      <c r="C9" s="9">
        <v>14</v>
      </c>
      <c r="D9" s="39">
        <v>789.428571428574</v>
      </c>
      <c r="E9" s="40">
        <v>283.392285714286</v>
      </c>
      <c r="F9" s="40">
        <v>21.5390445168294</v>
      </c>
      <c r="G9" s="39">
        <v>552</v>
      </c>
      <c r="H9" s="39">
        <v>90.8571428571426</v>
      </c>
      <c r="I9" s="39">
        <v>94.2857142857154</v>
      </c>
      <c r="J9" s="39">
        <v>52.2857142857152</v>
      </c>
      <c r="K9" s="40">
        <v>11.96</v>
      </c>
      <c r="L9" s="40">
        <v>26.3</v>
      </c>
      <c r="M9" s="40">
        <v>48.52</v>
      </c>
      <c r="N9" s="38">
        <v>84.1</v>
      </c>
    </row>
    <row r="10" spans="1:14">
      <c r="A10" s="11">
        <v>328.8</v>
      </c>
      <c r="B10" s="11">
        <v>8.3</v>
      </c>
      <c r="C10" s="9">
        <v>14</v>
      </c>
      <c r="D10" s="39">
        <v>193.285714285713</v>
      </c>
      <c r="E10" s="40">
        <v>68.8245</v>
      </c>
      <c r="F10" s="40">
        <v>21.3645898004436</v>
      </c>
      <c r="G10" s="39">
        <v>147.857142857141</v>
      </c>
      <c r="H10" s="39">
        <v>43.2857142857143</v>
      </c>
      <c r="I10" s="41">
        <v>0</v>
      </c>
      <c r="J10" s="39">
        <v>2.14285714285714</v>
      </c>
      <c r="K10" s="40">
        <v>38.06</v>
      </c>
      <c r="L10" s="40">
        <v>26.52</v>
      </c>
      <c r="M10" s="40">
        <v>51.7</v>
      </c>
      <c r="N10" s="38">
        <v>82.9</v>
      </c>
    </row>
    <row r="11" spans="1:14">
      <c r="A11" s="11">
        <v>298.2</v>
      </c>
      <c r="B11" s="11">
        <v>8.3</v>
      </c>
      <c r="C11" s="9">
        <v>7</v>
      </c>
      <c r="D11" s="39">
        <v>257.142857142857</v>
      </c>
      <c r="E11" s="40">
        <v>73.7785714285714</v>
      </c>
      <c r="F11" s="40">
        <v>17.215</v>
      </c>
      <c r="G11" s="39">
        <v>220.285714285714</v>
      </c>
      <c r="H11" s="39">
        <v>36.8571428571428</v>
      </c>
      <c r="I11" s="41">
        <v>0</v>
      </c>
      <c r="J11" s="41">
        <v>0</v>
      </c>
      <c r="K11" s="40">
        <v>116.24</v>
      </c>
      <c r="L11" s="40">
        <v>26.66</v>
      </c>
      <c r="M11" s="40">
        <v>46.42</v>
      </c>
      <c r="N11" s="38">
        <v>80.4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P3" sqref="P3"/>
    </sheetView>
  </sheetViews>
  <sheetFormatPr defaultColWidth="9.02654867256637" defaultRowHeight="13.5"/>
  <cols>
    <col min="1" max="1" width="10.6194690265487" customWidth="1"/>
    <col min="7" max="7" width="12.0884955752212" customWidth="1"/>
    <col min="11" max="11" width="10.8318584070796" customWidth="1"/>
    <col min="12" max="12" width="10.0265486725664"/>
  </cols>
  <sheetData>
    <row r="1" ht="40" customHeight="1" spans="1:15">
      <c r="A1" s="1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ht="20" customHeight="1" spans="1:15">
      <c r="A2" s="11" t="s">
        <v>15</v>
      </c>
      <c r="B2" s="11">
        <v>1042</v>
      </c>
      <c r="C2" s="11">
        <v>11</v>
      </c>
      <c r="D2" s="9">
        <v>20</v>
      </c>
      <c r="E2" s="39">
        <v>171.299999999999</v>
      </c>
      <c r="F2" s="40">
        <v>67.6448</v>
      </c>
      <c r="G2" s="40">
        <v>23.6934500875658</v>
      </c>
      <c r="H2" s="39">
        <v>41.0999999999994</v>
      </c>
      <c r="I2" s="39">
        <v>33.5999999999994</v>
      </c>
      <c r="J2" s="41">
        <v>84</v>
      </c>
      <c r="K2" s="39">
        <v>12.6000000000008</v>
      </c>
      <c r="L2" s="40">
        <v>2946.4</v>
      </c>
      <c r="M2" s="40">
        <v>25.2</v>
      </c>
      <c r="N2" s="40">
        <v>52.94</v>
      </c>
      <c r="O2" s="38">
        <v>83.4</v>
      </c>
    </row>
    <row r="3" ht="20" customHeight="1" spans="1:15">
      <c r="A3" s="11" t="s">
        <v>16</v>
      </c>
      <c r="B3" s="11">
        <v>442.6</v>
      </c>
      <c r="C3" s="11">
        <v>13</v>
      </c>
      <c r="D3" s="9">
        <v>20</v>
      </c>
      <c r="E3" s="39">
        <v>211.5</v>
      </c>
      <c r="F3" s="40">
        <v>70.6175</v>
      </c>
      <c r="G3" s="40">
        <v>20.0333333333333</v>
      </c>
      <c r="H3" s="39">
        <v>190.8</v>
      </c>
      <c r="I3" s="39">
        <v>20.6999999999998</v>
      </c>
      <c r="J3" s="40">
        <v>0.01</v>
      </c>
      <c r="K3" s="40">
        <v>0.01</v>
      </c>
      <c r="L3" s="40">
        <v>320.4</v>
      </c>
      <c r="M3" s="40">
        <v>25.52</v>
      </c>
      <c r="N3" s="40">
        <v>51.46</v>
      </c>
      <c r="O3" s="38">
        <v>88.7</v>
      </c>
    </row>
    <row r="4" ht="20" customHeight="1" spans="1:15">
      <c r="A4" s="11" t="s">
        <v>17</v>
      </c>
      <c r="B4" s="11">
        <v>670.5</v>
      </c>
      <c r="C4" s="11">
        <v>7</v>
      </c>
      <c r="D4" s="9">
        <v>20</v>
      </c>
      <c r="E4" s="39">
        <v>377.1</v>
      </c>
      <c r="F4" s="40">
        <v>113.52075</v>
      </c>
      <c r="G4" s="40">
        <v>18.0621718377088</v>
      </c>
      <c r="H4" s="39">
        <v>145.800000000001</v>
      </c>
      <c r="I4" s="39">
        <v>28.2000000000002</v>
      </c>
      <c r="J4" s="41">
        <v>183</v>
      </c>
      <c r="K4" s="39">
        <v>20.1</v>
      </c>
      <c r="L4" s="40">
        <v>439.8</v>
      </c>
      <c r="M4" s="40">
        <v>25.32</v>
      </c>
      <c r="N4" s="40">
        <v>50.8</v>
      </c>
      <c r="O4" s="38">
        <v>75.2</v>
      </c>
    </row>
    <row r="5" ht="20" customHeight="1" spans="1:15">
      <c r="A5" s="11" t="s">
        <v>18</v>
      </c>
      <c r="B5" s="11">
        <v>541.6</v>
      </c>
      <c r="C5" s="11">
        <v>7</v>
      </c>
      <c r="D5" s="9">
        <v>17</v>
      </c>
      <c r="E5" s="39">
        <v>118.941176470589</v>
      </c>
      <c r="F5" s="40">
        <v>65.2413529411765</v>
      </c>
      <c r="G5" s="40">
        <v>32.911068249258</v>
      </c>
      <c r="H5" s="39">
        <v>53.2941176470595</v>
      </c>
      <c r="I5" s="39">
        <v>32.1176470588237</v>
      </c>
      <c r="J5" s="39">
        <v>7.05882352941162</v>
      </c>
      <c r="K5" s="39">
        <v>26.4705882352943</v>
      </c>
      <c r="L5" s="40">
        <v>194.2</v>
      </c>
      <c r="M5" s="40">
        <v>24.94</v>
      </c>
      <c r="N5" s="40">
        <v>51.46</v>
      </c>
      <c r="O5" s="38">
        <v>80.9</v>
      </c>
    </row>
    <row r="6" ht="20" customHeight="1" spans="1:15">
      <c r="A6" s="11" t="s">
        <v>19</v>
      </c>
      <c r="B6" s="11">
        <v>561.7</v>
      </c>
      <c r="C6" s="11">
        <v>18.2</v>
      </c>
      <c r="D6" s="9">
        <v>6</v>
      </c>
      <c r="E6" s="39">
        <v>330</v>
      </c>
      <c r="F6" s="40">
        <v>53.93</v>
      </c>
      <c r="G6" s="40">
        <v>9.80545454545454</v>
      </c>
      <c r="H6" s="39">
        <v>118.000000000001</v>
      </c>
      <c r="I6" s="39">
        <v>7.00000000000002</v>
      </c>
      <c r="J6" s="41">
        <v>140</v>
      </c>
      <c r="K6" s="41">
        <v>64.9999999999992</v>
      </c>
      <c r="L6" s="40">
        <v>12.8</v>
      </c>
      <c r="M6" s="40">
        <v>25.06</v>
      </c>
      <c r="N6" s="40">
        <v>49.88</v>
      </c>
      <c r="O6" s="38">
        <v>71.3</v>
      </c>
    </row>
    <row r="7" ht="20" customHeight="1" spans="1:15">
      <c r="A7" s="11" t="s">
        <v>20</v>
      </c>
      <c r="B7" s="11">
        <v>1281.4</v>
      </c>
      <c r="C7" s="11">
        <v>6.5</v>
      </c>
      <c r="D7" s="9">
        <v>17</v>
      </c>
      <c r="E7" s="39">
        <v>705.17647058823</v>
      </c>
      <c r="F7" s="40">
        <v>218.221823529412</v>
      </c>
      <c r="G7" s="40">
        <v>18.5674224224225</v>
      </c>
      <c r="H7" s="39">
        <v>595.411764705882</v>
      </c>
      <c r="I7" s="39">
        <v>62.4705882352944</v>
      </c>
      <c r="J7" s="39">
        <v>10.5882352941175</v>
      </c>
      <c r="K7" s="39">
        <v>36.7058823529412</v>
      </c>
      <c r="L7" s="40">
        <v>23.98</v>
      </c>
      <c r="M7" s="40">
        <v>24.1</v>
      </c>
      <c r="N7" s="40">
        <v>56.36</v>
      </c>
      <c r="O7" s="38">
        <v>83.6</v>
      </c>
    </row>
    <row r="8" ht="20" customHeight="1" spans="1:15">
      <c r="A8" s="11" t="s">
        <v>21</v>
      </c>
      <c r="B8" s="11">
        <v>1286.3</v>
      </c>
      <c r="C8" s="11">
        <v>6.5</v>
      </c>
      <c r="D8" s="9">
        <v>19</v>
      </c>
      <c r="E8" s="39">
        <v>613.578947368422</v>
      </c>
      <c r="F8" s="40">
        <v>196.341105263158</v>
      </c>
      <c r="G8" s="40">
        <v>19.1995934122491</v>
      </c>
      <c r="H8" s="39">
        <v>505.894736842105</v>
      </c>
      <c r="I8" s="39">
        <v>97.5789473684208</v>
      </c>
      <c r="J8" s="39">
        <v>3.15789473684204</v>
      </c>
      <c r="K8" s="39">
        <v>6.94736842105266</v>
      </c>
      <c r="L8" s="40">
        <v>20.32</v>
      </c>
      <c r="M8" s="40">
        <v>24.52</v>
      </c>
      <c r="N8" s="40">
        <v>50.38</v>
      </c>
      <c r="O8" s="38">
        <v>86.8</v>
      </c>
    </row>
    <row r="9" ht="20" customHeight="1" spans="1:15">
      <c r="A9" s="11" t="s">
        <v>22</v>
      </c>
      <c r="B9" s="11">
        <v>708.6</v>
      </c>
      <c r="C9" s="11">
        <v>7</v>
      </c>
      <c r="D9" s="9">
        <v>14</v>
      </c>
      <c r="E9" s="39">
        <v>182.571428571429</v>
      </c>
      <c r="F9" s="40">
        <v>74.1728571428572</v>
      </c>
      <c r="G9" s="40">
        <v>24.3760563380281</v>
      </c>
      <c r="H9" s="39">
        <v>28.285714285714</v>
      </c>
      <c r="I9" s="39">
        <v>60.0000000000006</v>
      </c>
      <c r="J9" s="39">
        <v>77.1428571428574</v>
      </c>
      <c r="K9" s="39">
        <v>17.1428571428569</v>
      </c>
      <c r="L9" s="40">
        <v>489</v>
      </c>
      <c r="M9" s="40">
        <v>25.15</v>
      </c>
      <c r="N9" s="40">
        <v>52.88</v>
      </c>
      <c r="O9" s="38">
        <v>78.9</v>
      </c>
    </row>
    <row r="10" ht="20" customHeight="1" spans="1:15">
      <c r="A10" s="11" t="s">
        <v>23</v>
      </c>
      <c r="B10" s="11">
        <v>1639</v>
      </c>
      <c r="C10" s="11">
        <v>8.3</v>
      </c>
      <c r="D10" s="9">
        <v>14</v>
      </c>
      <c r="E10" s="39">
        <v>789.428571428574</v>
      </c>
      <c r="F10" s="40">
        <v>283.392285714286</v>
      </c>
      <c r="G10" s="40">
        <v>21.5390445168294</v>
      </c>
      <c r="H10" s="39">
        <v>552</v>
      </c>
      <c r="I10" s="39">
        <v>90.8571428571426</v>
      </c>
      <c r="J10" s="39">
        <v>94.2857142857154</v>
      </c>
      <c r="K10" s="39">
        <v>52.2857142857152</v>
      </c>
      <c r="L10" s="40">
        <v>11.96</v>
      </c>
      <c r="M10" s="40">
        <v>26.3</v>
      </c>
      <c r="N10" s="40">
        <v>48.52</v>
      </c>
      <c r="O10" s="38">
        <v>84.1</v>
      </c>
    </row>
    <row r="11" ht="20" customHeight="1" spans="1:15">
      <c r="A11" s="11" t="s">
        <v>24</v>
      </c>
      <c r="B11" s="11">
        <v>328.8</v>
      </c>
      <c r="C11" s="11">
        <v>8.3</v>
      </c>
      <c r="D11" s="9">
        <v>14</v>
      </c>
      <c r="E11" s="39">
        <v>193.285714285713</v>
      </c>
      <c r="F11" s="40">
        <v>68.8245</v>
      </c>
      <c r="G11" s="40">
        <v>21.3645898004436</v>
      </c>
      <c r="H11" s="39">
        <v>147.857142857141</v>
      </c>
      <c r="I11" s="39">
        <v>43.2857142857143</v>
      </c>
      <c r="J11" s="40">
        <v>0.01</v>
      </c>
      <c r="K11" s="39">
        <v>2.14285714285714</v>
      </c>
      <c r="L11" s="40">
        <v>38.06</v>
      </c>
      <c r="M11" s="40">
        <v>26.52</v>
      </c>
      <c r="N11" s="40">
        <v>51.7</v>
      </c>
      <c r="O11" s="38">
        <v>82.9</v>
      </c>
    </row>
    <row r="12" ht="20" customHeight="1" spans="1:15">
      <c r="A12" s="11" t="s">
        <v>25</v>
      </c>
      <c r="B12" s="11">
        <v>298.2</v>
      </c>
      <c r="C12" s="11">
        <v>8.3</v>
      </c>
      <c r="D12" s="9">
        <v>7</v>
      </c>
      <c r="E12" s="39">
        <v>257.142857142857</v>
      </c>
      <c r="F12" s="40">
        <v>73.7785714285714</v>
      </c>
      <c r="G12" s="40">
        <v>17.215</v>
      </c>
      <c r="H12" s="39">
        <v>220.285714285714</v>
      </c>
      <c r="I12" s="39">
        <v>36.8571428571428</v>
      </c>
      <c r="J12" s="40">
        <v>0.01</v>
      </c>
      <c r="K12" s="40">
        <v>0.01</v>
      </c>
      <c r="L12" s="40">
        <v>116.24</v>
      </c>
      <c r="M12" s="40">
        <v>26.66</v>
      </c>
      <c r="N12" s="40">
        <v>46.42</v>
      </c>
      <c r="O12" s="38">
        <v>80.4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"/>
  <sheetViews>
    <sheetView zoomScale="85" zoomScaleNormal="85" topLeftCell="C1" workbookViewId="0">
      <selection activeCell="B69" sqref="B69:B81"/>
    </sheetView>
  </sheetViews>
  <sheetFormatPr defaultColWidth="9" defaultRowHeight="13.5"/>
  <cols>
    <col min="1" max="1" width="5.63716814159292" customWidth="1"/>
    <col min="2" max="2" width="23.5044247787611" customWidth="1"/>
    <col min="3" max="3" width="12.7610619469027" customWidth="1"/>
    <col min="4" max="4" width="14" customWidth="1"/>
    <col min="5" max="5" width="15.6371681415929" customWidth="1"/>
    <col min="6" max="6" width="17" customWidth="1"/>
    <col min="7" max="7" width="12" customWidth="1"/>
    <col min="8" max="12" width="14" customWidth="1"/>
    <col min="13" max="14" width="15.1327433628319" customWidth="1"/>
    <col min="15" max="15" width="14.929203539823" customWidth="1"/>
  </cols>
  <sheetData>
    <row r="1" ht="27" customHeight="1" spans="1:15">
      <c r="A1" s="9" t="s">
        <v>26</v>
      </c>
      <c r="B1" s="9" t="s">
        <v>27</v>
      </c>
      <c r="C1" s="11" t="s">
        <v>28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24" customHeight="1" spans="1:15">
      <c r="A2" s="9"/>
      <c r="B2" s="9"/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29</v>
      </c>
      <c r="O2" s="38" t="s">
        <v>28</v>
      </c>
    </row>
    <row r="3" ht="18" customHeight="1" spans="1:15">
      <c r="A3" s="1">
        <v>1</v>
      </c>
      <c r="B3" s="1">
        <v>1</v>
      </c>
      <c r="C3" s="33">
        <v>66.18</v>
      </c>
      <c r="D3" s="1">
        <v>60.856</v>
      </c>
      <c r="E3" s="1">
        <v>127.335</v>
      </c>
      <c r="F3" s="1">
        <v>45.327</v>
      </c>
      <c r="G3" s="1">
        <v>0</v>
      </c>
      <c r="H3" s="1">
        <v>213.887</v>
      </c>
      <c r="I3" s="1">
        <v>159.635</v>
      </c>
      <c r="J3" s="1">
        <v>116.902</v>
      </c>
      <c r="K3" s="33">
        <v>357.72</v>
      </c>
      <c r="L3" s="1">
        <v>66.716</v>
      </c>
      <c r="M3" s="1">
        <v>72.005</v>
      </c>
      <c r="N3" s="1">
        <f>O3-SUM(C3:M3)</f>
        <v>74.2669999999998</v>
      </c>
      <c r="O3" s="37">
        <v>1360.83</v>
      </c>
    </row>
    <row r="4" ht="18" customHeight="1" spans="1:15">
      <c r="A4" s="1">
        <v>1</v>
      </c>
      <c r="B4" s="1">
        <v>2</v>
      </c>
      <c r="C4" s="1">
        <v>75.934</v>
      </c>
      <c r="D4" s="1">
        <v>69.934</v>
      </c>
      <c r="E4" s="1">
        <v>145.376</v>
      </c>
      <c r="F4" s="1">
        <v>121.792</v>
      </c>
      <c r="G4" s="1">
        <v>51.006</v>
      </c>
      <c r="H4" s="33">
        <v>338.1</v>
      </c>
      <c r="I4" s="1">
        <v>344.229</v>
      </c>
      <c r="J4" s="1">
        <v>118.983</v>
      </c>
      <c r="K4" s="1">
        <v>258.348</v>
      </c>
      <c r="L4" s="1">
        <v>61.709</v>
      </c>
      <c r="M4" s="1">
        <v>66.634</v>
      </c>
      <c r="N4" s="1">
        <f t="shared" ref="N4:N23" si="0">O4-SUM(C4:M4)</f>
        <v>110.361</v>
      </c>
      <c r="O4" s="37">
        <v>1762.406</v>
      </c>
    </row>
    <row r="5" ht="18" customHeight="1" spans="1:15">
      <c r="A5" s="1">
        <v>1</v>
      </c>
      <c r="B5" s="1">
        <v>3</v>
      </c>
      <c r="C5" s="1">
        <v>89.694</v>
      </c>
      <c r="D5" s="1">
        <v>59.002</v>
      </c>
      <c r="E5" s="1">
        <v>141.319</v>
      </c>
      <c r="F5" s="1">
        <v>56.433</v>
      </c>
      <c r="G5" s="1">
        <v>37.919</v>
      </c>
      <c r="H5" s="1">
        <v>197.189</v>
      </c>
      <c r="I5" s="1">
        <v>155.384</v>
      </c>
      <c r="J5" s="1">
        <v>27.188</v>
      </c>
      <c r="K5" s="1">
        <v>282.908</v>
      </c>
      <c r="L5" s="1">
        <v>52.936</v>
      </c>
      <c r="M5" s="1">
        <v>64.286</v>
      </c>
      <c r="N5" s="1">
        <f t="shared" si="0"/>
        <v>69.454</v>
      </c>
      <c r="O5" s="37">
        <v>1233.712</v>
      </c>
    </row>
    <row r="6" ht="18" customHeight="1" spans="1:15">
      <c r="A6" s="1">
        <v>1</v>
      </c>
      <c r="B6" s="1">
        <v>4</v>
      </c>
      <c r="C6" s="1">
        <v>58.922</v>
      </c>
      <c r="D6" s="1">
        <v>84.999</v>
      </c>
      <c r="E6" s="1">
        <v>112.851</v>
      </c>
      <c r="F6" s="1">
        <v>84.773</v>
      </c>
      <c r="G6" s="1">
        <v>63.363</v>
      </c>
      <c r="H6" s="1">
        <v>259.229</v>
      </c>
      <c r="I6" s="1">
        <v>256.726</v>
      </c>
      <c r="J6" s="1">
        <v>0</v>
      </c>
      <c r="K6" s="1"/>
      <c r="L6" s="1">
        <v>0</v>
      </c>
      <c r="M6" s="1">
        <v>0</v>
      </c>
      <c r="N6" s="1">
        <f t="shared" si="0"/>
        <v>88.248</v>
      </c>
      <c r="O6" s="37">
        <v>1009.111</v>
      </c>
    </row>
    <row r="7" ht="18" customHeight="1" spans="1:15">
      <c r="A7" s="1">
        <v>2</v>
      </c>
      <c r="B7" s="1">
        <v>5</v>
      </c>
      <c r="C7" s="1">
        <v>88.813</v>
      </c>
      <c r="D7" s="33">
        <v>66.33</v>
      </c>
      <c r="E7" s="33">
        <v>126.97</v>
      </c>
      <c r="F7" s="1">
        <v>45.016</v>
      </c>
      <c r="G7" s="1">
        <v>0</v>
      </c>
      <c r="H7" s="1">
        <v>191.061</v>
      </c>
      <c r="I7" s="33">
        <v>205</v>
      </c>
      <c r="J7" s="1">
        <v>58.501</v>
      </c>
      <c r="K7" s="33">
        <v>292.15</v>
      </c>
      <c r="L7" s="1">
        <v>65.411</v>
      </c>
      <c r="M7" s="1">
        <v>0</v>
      </c>
      <c r="N7" s="1">
        <f t="shared" si="0"/>
        <v>77.3900000000001</v>
      </c>
      <c r="O7" s="37">
        <v>1216.642</v>
      </c>
    </row>
    <row r="8" ht="18" customHeight="1" spans="1:15">
      <c r="A8" s="1">
        <v>2</v>
      </c>
      <c r="B8" s="1">
        <v>6</v>
      </c>
      <c r="C8" s="1">
        <v>56.197</v>
      </c>
      <c r="D8" s="1">
        <v>90.732</v>
      </c>
      <c r="E8" s="1">
        <v>104.549</v>
      </c>
      <c r="F8" s="1">
        <v>78.959</v>
      </c>
      <c r="G8" s="1">
        <v>0</v>
      </c>
      <c r="H8" s="1">
        <v>228.963</v>
      </c>
      <c r="I8" s="1">
        <v>317.828</v>
      </c>
      <c r="J8" s="1">
        <v>65.185</v>
      </c>
      <c r="K8" s="33">
        <v>300.4</v>
      </c>
      <c r="L8" s="1">
        <v>53.925</v>
      </c>
      <c r="M8" s="1">
        <v>68.897</v>
      </c>
      <c r="N8" s="1">
        <f t="shared" si="0"/>
        <v>49.992</v>
      </c>
      <c r="O8" s="37">
        <v>1415.627</v>
      </c>
    </row>
    <row r="9" ht="18" customHeight="1" spans="1:15">
      <c r="A9" s="1">
        <v>2</v>
      </c>
      <c r="B9" s="1">
        <v>7</v>
      </c>
      <c r="C9" s="1">
        <v>81.343</v>
      </c>
      <c r="D9" s="1">
        <v>86.801</v>
      </c>
      <c r="E9" s="1">
        <v>60.742</v>
      </c>
      <c r="F9" s="1">
        <v>46.587</v>
      </c>
      <c r="G9" s="1">
        <v>0</v>
      </c>
      <c r="H9" s="33">
        <v>215.64</v>
      </c>
      <c r="I9" s="1">
        <v>213.465</v>
      </c>
      <c r="J9" s="1">
        <v>56.217</v>
      </c>
      <c r="K9" s="1">
        <v>384.356</v>
      </c>
      <c r="L9" s="1">
        <v>63.284</v>
      </c>
      <c r="M9" s="1">
        <v>0</v>
      </c>
      <c r="N9" s="1">
        <f t="shared" si="0"/>
        <v>58.854</v>
      </c>
      <c r="O9" s="37">
        <v>1267.289</v>
      </c>
    </row>
    <row r="10" ht="18" customHeight="1" spans="1:15">
      <c r="A10" s="1">
        <v>2</v>
      </c>
      <c r="B10" s="1">
        <v>8</v>
      </c>
      <c r="C10" s="1">
        <v>58.992</v>
      </c>
      <c r="D10" s="33">
        <v>102.43</v>
      </c>
      <c r="E10" s="1">
        <v>145.776</v>
      </c>
      <c r="F10" s="1">
        <v>82.228</v>
      </c>
      <c r="G10" s="1">
        <v>37.966</v>
      </c>
      <c r="H10" s="1">
        <v>202.068</v>
      </c>
      <c r="I10" s="1">
        <v>199.955</v>
      </c>
      <c r="J10" s="1">
        <v>60.934</v>
      </c>
      <c r="K10" s="1">
        <v>298.386</v>
      </c>
      <c r="L10" s="33">
        <v>56.13</v>
      </c>
      <c r="M10" s="1">
        <v>0</v>
      </c>
      <c r="N10" s="1">
        <f t="shared" si="0"/>
        <v>84.2229999999997</v>
      </c>
      <c r="O10" s="37">
        <v>1329.088</v>
      </c>
    </row>
    <row r="11" ht="18" customHeight="1" spans="1:15">
      <c r="A11" s="1">
        <v>3</v>
      </c>
      <c r="B11" s="1">
        <v>9</v>
      </c>
      <c r="C11" s="1">
        <v>66.124</v>
      </c>
      <c r="D11" s="1">
        <v>63.994</v>
      </c>
      <c r="E11" s="1">
        <v>181.562</v>
      </c>
      <c r="F11" s="33">
        <v>57.909</v>
      </c>
      <c r="G11" s="1">
        <v>0</v>
      </c>
      <c r="H11" s="1">
        <v>269.543</v>
      </c>
      <c r="I11" s="1">
        <v>195.338</v>
      </c>
      <c r="J11" s="1">
        <v>66.522</v>
      </c>
      <c r="K11" s="1">
        <v>271.126</v>
      </c>
      <c r="L11" s="1">
        <v>47.801</v>
      </c>
      <c r="M11" s="1">
        <v>69.106</v>
      </c>
      <c r="N11" s="1">
        <f t="shared" si="0"/>
        <v>48.7540000000001</v>
      </c>
      <c r="O11" s="37">
        <v>1337.779</v>
      </c>
    </row>
    <row r="12" ht="18" customHeight="1" spans="1:15">
      <c r="A12" s="1">
        <v>3</v>
      </c>
      <c r="B12" s="1">
        <v>10</v>
      </c>
      <c r="C12" s="33">
        <v>63.44</v>
      </c>
      <c r="D12" s="33">
        <v>60.58</v>
      </c>
      <c r="E12" s="1">
        <v>120.526</v>
      </c>
      <c r="F12" s="1">
        <v>26.383</v>
      </c>
      <c r="G12" s="1">
        <v>40.693</v>
      </c>
      <c r="H12" s="1">
        <v>0</v>
      </c>
      <c r="I12" s="1">
        <v>144.456</v>
      </c>
      <c r="J12" s="1">
        <v>0</v>
      </c>
      <c r="K12" s="1"/>
      <c r="L12" s="1">
        <v>0</v>
      </c>
      <c r="M12" s="1">
        <v>0</v>
      </c>
      <c r="N12" s="1">
        <f t="shared" si="0"/>
        <v>71.9780000000001</v>
      </c>
      <c r="O12" s="37">
        <v>528.056</v>
      </c>
    </row>
    <row r="13" ht="18" customHeight="1" spans="1:15">
      <c r="A13" s="1">
        <v>3</v>
      </c>
      <c r="B13" s="1">
        <v>11</v>
      </c>
      <c r="C13" s="1">
        <v>81.724</v>
      </c>
      <c r="D13" s="1">
        <v>61.225</v>
      </c>
      <c r="E13" s="1">
        <v>193.585</v>
      </c>
      <c r="F13" s="1">
        <v>55.399</v>
      </c>
      <c r="G13" s="1">
        <v>0</v>
      </c>
      <c r="H13" s="1">
        <v>238.549</v>
      </c>
      <c r="I13" s="1">
        <v>244.839</v>
      </c>
      <c r="J13" s="1">
        <v>87.032</v>
      </c>
      <c r="K13" s="1">
        <v>240.051</v>
      </c>
      <c r="L13" s="1">
        <v>77.066</v>
      </c>
      <c r="M13" s="1">
        <v>0</v>
      </c>
      <c r="N13" s="1">
        <f t="shared" si="0"/>
        <v>37.2850000000001</v>
      </c>
      <c r="O13" s="37">
        <v>1316.755</v>
      </c>
    </row>
    <row r="14" ht="18" customHeight="1" spans="1:15">
      <c r="A14" s="1">
        <v>3</v>
      </c>
      <c r="B14" s="1">
        <v>12</v>
      </c>
      <c r="C14" s="1">
        <v>94.692</v>
      </c>
      <c r="D14" s="1">
        <v>60.114</v>
      </c>
      <c r="E14" s="1">
        <v>62.087</v>
      </c>
      <c r="F14" s="1">
        <v>48.697</v>
      </c>
      <c r="G14" s="1">
        <v>0</v>
      </c>
      <c r="H14" s="1">
        <v>165.985</v>
      </c>
      <c r="I14" s="1">
        <v>160.274</v>
      </c>
      <c r="J14" s="1">
        <v>84.643</v>
      </c>
      <c r="K14" s="1">
        <v>239.937</v>
      </c>
      <c r="L14" s="1">
        <v>59.748</v>
      </c>
      <c r="M14" s="1">
        <v>64.102</v>
      </c>
      <c r="N14" s="1">
        <f t="shared" si="0"/>
        <v>36.8320000000001</v>
      </c>
      <c r="O14" s="37">
        <v>1077.111</v>
      </c>
    </row>
    <row r="15" ht="18" customHeight="1" spans="1:15">
      <c r="A15" s="1">
        <v>4</v>
      </c>
      <c r="B15" s="1">
        <v>13</v>
      </c>
      <c r="C15" s="1">
        <v>56.681</v>
      </c>
      <c r="D15" s="1">
        <v>62.607</v>
      </c>
      <c r="E15" s="1">
        <v>113.052</v>
      </c>
      <c r="F15" s="33">
        <v>45.12</v>
      </c>
      <c r="G15" s="1">
        <v>0</v>
      </c>
      <c r="H15" s="1">
        <v>158.261</v>
      </c>
      <c r="I15" s="1">
        <v>194.469</v>
      </c>
      <c r="J15" s="1">
        <v>90.056</v>
      </c>
      <c r="K15" s="1">
        <v>239.027</v>
      </c>
      <c r="L15" s="33">
        <v>157.15</v>
      </c>
      <c r="M15" s="1">
        <v>67.269</v>
      </c>
      <c r="N15" s="1">
        <f t="shared" si="0"/>
        <v>56.5239999999997</v>
      </c>
      <c r="O15" s="37">
        <v>1240.216</v>
      </c>
    </row>
    <row r="16" ht="18" customHeight="1" spans="1:15">
      <c r="A16" s="1">
        <v>4</v>
      </c>
      <c r="B16" s="1">
        <v>14</v>
      </c>
      <c r="C16" s="1">
        <v>49.225</v>
      </c>
      <c r="D16" s="1">
        <v>62.291</v>
      </c>
      <c r="E16" s="1">
        <v>58.665</v>
      </c>
      <c r="F16" s="1">
        <v>0</v>
      </c>
      <c r="G16" s="1">
        <v>29.841</v>
      </c>
      <c r="H16" s="1">
        <v>0</v>
      </c>
      <c r="I16" s="1">
        <v>0</v>
      </c>
      <c r="J16" s="1">
        <v>0</v>
      </c>
      <c r="K16" s="1"/>
      <c r="L16" s="1">
        <v>0</v>
      </c>
      <c r="M16" s="1">
        <v>0</v>
      </c>
      <c r="N16" s="1">
        <f t="shared" si="0"/>
        <v>60.882</v>
      </c>
      <c r="O16" s="37">
        <v>260.904</v>
      </c>
    </row>
    <row r="17" ht="18" customHeight="1" spans="1:15">
      <c r="A17" s="1">
        <v>4</v>
      </c>
      <c r="B17" s="1">
        <v>15</v>
      </c>
      <c r="C17" s="1">
        <v>72.083</v>
      </c>
      <c r="D17" s="1">
        <v>64.231</v>
      </c>
      <c r="E17" s="1">
        <v>65.423</v>
      </c>
      <c r="F17" s="33">
        <v>48.579</v>
      </c>
      <c r="G17" s="1">
        <v>0</v>
      </c>
      <c r="H17" s="1">
        <v>223.413</v>
      </c>
      <c r="I17" s="1">
        <v>230.262</v>
      </c>
      <c r="J17" s="1">
        <v>63.084</v>
      </c>
      <c r="K17" s="1">
        <v>318.008</v>
      </c>
      <c r="L17" s="1">
        <v>68.413</v>
      </c>
      <c r="M17" s="1">
        <v>0</v>
      </c>
      <c r="N17" s="1">
        <f t="shared" si="0"/>
        <v>64.5929999999998</v>
      </c>
      <c r="O17" s="37">
        <v>1218.089</v>
      </c>
    </row>
    <row r="18" ht="18" customHeight="1" spans="1:15">
      <c r="A18" s="1">
        <v>4</v>
      </c>
      <c r="B18" s="1">
        <v>16</v>
      </c>
      <c r="C18" s="1">
        <v>78.977</v>
      </c>
      <c r="D18" s="1">
        <v>63.391</v>
      </c>
      <c r="E18" s="33">
        <v>127.9</v>
      </c>
      <c r="F18" s="1">
        <v>58.111</v>
      </c>
      <c r="G18" s="1">
        <v>0</v>
      </c>
      <c r="H18" s="1">
        <v>279.518</v>
      </c>
      <c r="I18" s="1">
        <v>247.563</v>
      </c>
      <c r="J18" s="33">
        <v>60.4</v>
      </c>
      <c r="K18" s="33">
        <v>286.38</v>
      </c>
      <c r="L18" s="1">
        <v>73.351</v>
      </c>
      <c r="M18" s="1">
        <v>0</v>
      </c>
      <c r="N18" s="1">
        <f t="shared" si="0"/>
        <v>44.5510000000002</v>
      </c>
      <c r="O18" s="37">
        <v>1320.142</v>
      </c>
    </row>
    <row r="19" ht="18" customHeight="1" spans="1:15">
      <c r="A19" s="1">
        <v>5</v>
      </c>
      <c r="B19" s="1">
        <v>17</v>
      </c>
      <c r="C19" s="1">
        <v>59.599</v>
      </c>
      <c r="D19" s="33">
        <v>59.38</v>
      </c>
      <c r="E19" s="1">
        <v>78.389</v>
      </c>
      <c r="F19" s="1">
        <v>45.075</v>
      </c>
      <c r="G19" s="1">
        <v>0</v>
      </c>
      <c r="H19" s="1">
        <v>191.491</v>
      </c>
      <c r="I19" s="1">
        <v>133.782</v>
      </c>
      <c r="J19" s="1">
        <v>82.773</v>
      </c>
      <c r="K19" s="1">
        <v>198.695</v>
      </c>
      <c r="L19" s="1">
        <v>59.903</v>
      </c>
      <c r="M19" s="1">
        <v>44.151</v>
      </c>
      <c r="N19" s="1">
        <f t="shared" si="0"/>
        <v>60.254</v>
      </c>
      <c r="O19" s="37">
        <v>1013.492</v>
      </c>
    </row>
    <row r="20" ht="18" customHeight="1" spans="1:15">
      <c r="A20" s="1">
        <v>5</v>
      </c>
      <c r="B20" s="1">
        <v>18</v>
      </c>
      <c r="C20" s="33">
        <v>52.09</v>
      </c>
      <c r="D20" s="1">
        <v>55.383</v>
      </c>
      <c r="E20" s="1">
        <v>59.005</v>
      </c>
      <c r="F20" s="1">
        <v>45.493</v>
      </c>
      <c r="G20" s="1">
        <v>0</v>
      </c>
      <c r="H20" s="1">
        <v>177.281</v>
      </c>
      <c r="I20" s="1">
        <v>140.886</v>
      </c>
      <c r="J20" s="1">
        <v>0</v>
      </c>
      <c r="K20" s="1"/>
      <c r="L20" s="1">
        <v>0</v>
      </c>
      <c r="M20" s="1">
        <v>0</v>
      </c>
      <c r="N20" s="1">
        <f t="shared" si="0"/>
        <v>36.7959999999999</v>
      </c>
      <c r="O20" s="37">
        <v>566.934</v>
      </c>
    </row>
    <row r="21" ht="18" customHeight="1" spans="1:15">
      <c r="A21" s="1">
        <v>5</v>
      </c>
      <c r="B21" s="1">
        <v>19</v>
      </c>
      <c r="C21" s="1">
        <v>51.023</v>
      </c>
      <c r="D21" s="1">
        <v>114.478</v>
      </c>
      <c r="E21" s="33">
        <v>133.13</v>
      </c>
      <c r="F21" s="1">
        <v>45.188</v>
      </c>
      <c r="G21" s="1">
        <v>0</v>
      </c>
      <c r="H21" s="1">
        <v>145.113</v>
      </c>
      <c r="I21" s="1">
        <v>164.399</v>
      </c>
      <c r="J21" s="1">
        <v>0</v>
      </c>
      <c r="K21" s="1"/>
      <c r="L21" s="1">
        <v>0</v>
      </c>
      <c r="M21" s="1">
        <v>0</v>
      </c>
      <c r="N21" s="1">
        <f t="shared" si="0"/>
        <v>62.1060000000001</v>
      </c>
      <c r="O21" s="37">
        <v>715.437</v>
      </c>
    </row>
    <row r="22" ht="18" customHeight="1" spans="1:15">
      <c r="A22" s="1">
        <v>5</v>
      </c>
      <c r="B22" s="1">
        <v>20</v>
      </c>
      <c r="C22" s="1">
        <v>51.163</v>
      </c>
      <c r="D22" s="1">
        <v>63.592</v>
      </c>
      <c r="E22" s="1">
        <v>112.173</v>
      </c>
      <c r="F22" s="1">
        <v>72.034</v>
      </c>
      <c r="G22" s="1">
        <v>62.792</v>
      </c>
      <c r="H22" s="33">
        <v>14.48</v>
      </c>
      <c r="I22" s="1">
        <v>21.991</v>
      </c>
      <c r="J22" s="1">
        <v>0</v>
      </c>
      <c r="K22" s="1"/>
      <c r="L22" s="1">
        <v>0</v>
      </c>
      <c r="M22" s="1">
        <v>0</v>
      </c>
      <c r="N22" s="1">
        <f t="shared" si="0"/>
        <v>72.421</v>
      </c>
      <c r="O22" s="37">
        <v>470.646</v>
      </c>
    </row>
    <row r="23" spans="1:15">
      <c r="A23" s="34" t="s">
        <v>30</v>
      </c>
      <c r="B23" s="34"/>
      <c r="C23" s="35">
        <f>SUM(C3:C22)</f>
        <v>1352.896</v>
      </c>
      <c r="D23" s="35">
        <f t="shared" ref="D23:O23" si="1">SUM(D3:D22)</f>
        <v>1412.35</v>
      </c>
      <c r="E23" s="35">
        <f t="shared" si="1"/>
        <v>2270.415</v>
      </c>
      <c r="F23" s="35">
        <f t="shared" si="1"/>
        <v>1109.103</v>
      </c>
      <c r="G23" s="35">
        <f t="shared" si="1"/>
        <v>323.58</v>
      </c>
      <c r="H23" s="35">
        <f t="shared" si="1"/>
        <v>3709.771</v>
      </c>
      <c r="I23" s="35">
        <f t="shared" si="1"/>
        <v>3730.481</v>
      </c>
      <c r="J23" s="35">
        <f t="shared" si="1"/>
        <v>1038.42</v>
      </c>
      <c r="K23" s="35">
        <f t="shared" si="1"/>
        <v>3967.492</v>
      </c>
      <c r="L23" s="35">
        <f t="shared" si="1"/>
        <v>963.543</v>
      </c>
      <c r="M23" s="35">
        <f t="shared" si="1"/>
        <v>516.45</v>
      </c>
      <c r="N23" s="35">
        <f t="shared" si="1"/>
        <v>1265.765</v>
      </c>
      <c r="O23">
        <f t="shared" si="1"/>
        <v>21660.266</v>
      </c>
    </row>
    <row r="24" spans="1:15">
      <c r="A24" s="34" t="s">
        <v>31</v>
      </c>
      <c r="C24">
        <v>57.0999999999998</v>
      </c>
      <c r="D24">
        <v>70.5</v>
      </c>
      <c r="E24">
        <v>125.7</v>
      </c>
      <c r="F24">
        <v>33.7000000000002</v>
      </c>
      <c r="G24">
        <v>33</v>
      </c>
      <c r="H24">
        <v>199.799999999999</v>
      </c>
      <c r="I24">
        <v>194.3</v>
      </c>
      <c r="J24">
        <v>42.6000000000001</v>
      </c>
      <c r="K24">
        <v>184.200000000001</v>
      </c>
      <c r="L24">
        <v>45.0999999999997</v>
      </c>
      <c r="M24">
        <v>30</v>
      </c>
      <c r="N24">
        <v>58.9999999999996</v>
      </c>
      <c r="O24">
        <f>SUM(C24:N24)</f>
        <v>1075</v>
      </c>
    </row>
    <row r="25" spans="1:15">
      <c r="A25" s="34" t="s">
        <v>32</v>
      </c>
      <c r="B25" s="34"/>
      <c r="C25" s="32">
        <f>C23/C24/60</f>
        <v>0.394890834792763</v>
      </c>
      <c r="D25" s="32">
        <f t="shared" ref="D25:O25" si="2">D23/D24/60</f>
        <v>0.333888888888889</v>
      </c>
      <c r="E25" s="32">
        <f t="shared" si="2"/>
        <v>0.301036197295147</v>
      </c>
      <c r="F25" s="32">
        <f t="shared" si="2"/>
        <v>0.5485178041543</v>
      </c>
      <c r="G25" s="32">
        <f t="shared" si="2"/>
        <v>0.163424242424242</v>
      </c>
      <c r="H25" s="32">
        <f t="shared" si="2"/>
        <v>0.309457040373709</v>
      </c>
      <c r="I25" s="32">
        <f t="shared" si="2"/>
        <v>0.319993223537485</v>
      </c>
      <c r="J25" s="32">
        <f t="shared" si="2"/>
        <v>0.406267605633802</v>
      </c>
      <c r="K25" s="32">
        <f t="shared" si="2"/>
        <v>0.35898407528049</v>
      </c>
      <c r="L25" s="32">
        <f t="shared" si="2"/>
        <v>0.35607649667406</v>
      </c>
      <c r="M25" s="32">
        <f t="shared" si="2"/>
        <v>0.286916666666667</v>
      </c>
      <c r="N25" s="32">
        <f t="shared" si="2"/>
        <v>0.357560734463279</v>
      </c>
      <c r="O25" s="32">
        <f t="shared" si="2"/>
        <v>0.33581807751938</v>
      </c>
    </row>
    <row r="26" spans="1:13">
      <c r="A26" s="34" t="s">
        <v>33</v>
      </c>
      <c r="B26" s="34"/>
      <c r="C26" s="36">
        <v>1041.983</v>
      </c>
      <c r="D26" s="36">
        <v>442.582</v>
      </c>
      <c r="E26" s="36">
        <v>670.511</v>
      </c>
      <c r="F26" s="36">
        <v>541.639</v>
      </c>
      <c r="G26" s="36">
        <v>561.689</v>
      </c>
      <c r="H26" s="36">
        <v>1281.405</v>
      </c>
      <c r="I26" s="36">
        <v>1286.288</v>
      </c>
      <c r="J26" s="36">
        <v>708.637</v>
      </c>
      <c r="K26" s="36">
        <v>1639.038</v>
      </c>
      <c r="L26" s="36">
        <v>328.779</v>
      </c>
      <c r="M26" s="36">
        <v>298.2</v>
      </c>
    </row>
    <row r="27" spans="1:13">
      <c r="A27" s="34" t="s">
        <v>34</v>
      </c>
      <c r="B27" s="34"/>
      <c r="C27" s="37">
        <v>20</v>
      </c>
      <c r="D27" s="37">
        <v>20</v>
      </c>
      <c r="E27" s="37">
        <v>20</v>
      </c>
      <c r="F27" s="37">
        <v>17</v>
      </c>
      <c r="G27" s="37">
        <v>6</v>
      </c>
      <c r="H27" s="37">
        <v>17</v>
      </c>
      <c r="I27" s="37">
        <v>19</v>
      </c>
      <c r="J27" s="37">
        <v>14</v>
      </c>
      <c r="K27" s="37">
        <v>14</v>
      </c>
      <c r="L27" s="37">
        <v>14</v>
      </c>
      <c r="M27" s="37">
        <v>7</v>
      </c>
    </row>
    <row r="28" spans="1:13">
      <c r="A28" s="34" t="s">
        <v>35</v>
      </c>
      <c r="B28" s="34"/>
      <c r="C28" s="35">
        <f>C24/C27</f>
        <v>2.85499999999999</v>
      </c>
      <c r="D28" s="35">
        <f t="shared" ref="D28:M28" si="3">D24/D27</f>
        <v>3.525</v>
      </c>
      <c r="E28" s="35">
        <f t="shared" si="3"/>
        <v>6.285</v>
      </c>
      <c r="F28" s="35">
        <f t="shared" si="3"/>
        <v>1.98235294117648</v>
      </c>
      <c r="G28" s="35">
        <f t="shared" si="3"/>
        <v>5.5</v>
      </c>
      <c r="H28" s="35">
        <f t="shared" si="3"/>
        <v>11.7529411764705</v>
      </c>
      <c r="I28" s="35">
        <f t="shared" si="3"/>
        <v>10.2263157894737</v>
      </c>
      <c r="J28" s="35">
        <f t="shared" si="3"/>
        <v>3.04285714285715</v>
      </c>
      <c r="K28" s="35">
        <f t="shared" si="3"/>
        <v>13.1571428571429</v>
      </c>
      <c r="L28" s="35">
        <f t="shared" si="3"/>
        <v>3.22142857142855</v>
      </c>
      <c r="M28" s="35">
        <f t="shared" si="3"/>
        <v>4.28571428571429</v>
      </c>
    </row>
    <row r="68" ht="24" customHeight="1" spans="1:13">
      <c r="A68" s="1"/>
      <c r="B68" s="1"/>
      <c r="C68" s="11" t="s">
        <v>15</v>
      </c>
      <c r="D68" s="11" t="s">
        <v>16</v>
      </c>
      <c r="E68" s="11" t="s">
        <v>17</v>
      </c>
      <c r="F68" s="11" t="s">
        <v>18</v>
      </c>
      <c r="G68" s="11" t="s">
        <v>19</v>
      </c>
      <c r="H68" s="11" t="s">
        <v>20</v>
      </c>
      <c r="I68" s="11" t="s">
        <v>21</v>
      </c>
      <c r="J68" s="11" t="s">
        <v>22</v>
      </c>
      <c r="K68" s="11" t="s">
        <v>23</v>
      </c>
      <c r="L68" s="11" t="s">
        <v>24</v>
      </c>
      <c r="M68" s="11" t="s">
        <v>25</v>
      </c>
    </row>
    <row r="69" ht="25" customHeight="1" spans="1:13">
      <c r="A69" s="9" t="s">
        <v>36</v>
      </c>
      <c r="B69" s="31" t="s">
        <v>37</v>
      </c>
      <c r="C69" s="11">
        <v>1042</v>
      </c>
      <c r="D69" s="11">
        <v>442.6</v>
      </c>
      <c r="E69" s="11">
        <v>670.5</v>
      </c>
      <c r="F69" s="11">
        <v>541.6</v>
      </c>
      <c r="G69" s="11">
        <v>561.7</v>
      </c>
      <c r="H69" s="11">
        <v>1281.4</v>
      </c>
      <c r="I69" s="11">
        <v>1286.3</v>
      </c>
      <c r="J69" s="11">
        <v>708.6</v>
      </c>
      <c r="K69" s="11">
        <v>1639</v>
      </c>
      <c r="L69" s="11">
        <v>328.8</v>
      </c>
      <c r="M69" s="11">
        <v>298.2</v>
      </c>
    </row>
    <row r="70" ht="25" customHeight="1" spans="1:13">
      <c r="A70" s="9"/>
      <c r="B70" s="31" t="s">
        <v>2</v>
      </c>
      <c r="C70" s="11">
        <v>11</v>
      </c>
      <c r="D70" s="11">
        <v>13</v>
      </c>
      <c r="E70" s="11">
        <v>7</v>
      </c>
      <c r="F70" s="11">
        <v>7</v>
      </c>
      <c r="G70" s="11">
        <v>18.2</v>
      </c>
      <c r="H70" s="11">
        <v>6.5</v>
      </c>
      <c r="I70" s="11">
        <v>6.5</v>
      </c>
      <c r="J70" s="11">
        <v>7</v>
      </c>
      <c r="K70" s="11">
        <v>8.3</v>
      </c>
      <c r="L70" s="11">
        <v>8.3</v>
      </c>
      <c r="M70" s="11">
        <v>8.3</v>
      </c>
    </row>
    <row r="71" ht="25" customHeight="1" spans="1:13">
      <c r="A71" s="9" t="s">
        <v>38</v>
      </c>
      <c r="B71" s="31" t="s">
        <v>3</v>
      </c>
      <c r="C71" s="9">
        <v>20</v>
      </c>
      <c r="D71" s="9">
        <v>20</v>
      </c>
      <c r="E71" s="9">
        <v>20</v>
      </c>
      <c r="F71" s="9">
        <v>17</v>
      </c>
      <c r="G71" s="9">
        <v>6</v>
      </c>
      <c r="H71" s="9">
        <v>17</v>
      </c>
      <c r="I71" s="9">
        <v>19</v>
      </c>
      <c r="J71" s="9">
        <v>14</v>
      </c>
      <c r="K71" s="9">
        <v>14</v>
      </c>
      <c r="L71" s="9">
        <v>14</v>
      </c>
      <c r="M71" s="9">
        <v>7</v>
      </c>
    </row>
    <row r="72" ht="25" customHeight="1" spans="1:13">
      <c r="A72" s="9"/>
      <c r="B72" s="31" t="s">
        <v>4</v>
      </c>
      <c r="C72" s="39">
        <v>171.299999999999</v>
      </c>
      <c r="D72" s="39">
        <v>211.5</v>
      </c>
      <c r="E72" s="39">
        <v>377.1</v>
      </c>
      <c r="F72" s="39">
        <v>118.941176470589</v>
      </c>
      <c r="G72" s="39">
        <v>330</v>
      </c>
      <c r="H72" s="39">
        <v>705.17647058823</v>
      </c>
      <c r="I72" s="39">
        <v>613.578947368422</v>
      </c>
      <c r="J72" s="39">
        <v>182.571428571429</v>
      </c>
      <c r="K72" s="39">
        <v>789.428571428574</v>
      </c>
      <c r="L72" s="39">
        <v>193.285714285713</v>
      </c>
      <c r="M72" s="39">
        <v>257.142857142857</v>
      </c>
    </row>
    <row r="73" ht="25" customHeight="1" spans="1:13">
      <c r="A73" s="9"/>
      <c r="B73" s="31" t="s">
        <v>5</v>
      </c>
      <c r="C73" s="40">
        <v>67.6448</v>
      </c>
      <c r="D73" s="40">
        <v>70.6175</v>
      </c>
      <c r="E73" s="40">
        <v>113.52075</v>
      </c>
      <c r="F73" s="40">
        <v>65.2413529411765</v>
      </c>
      <c r="G73" s="40">
        <v>53.93</v>
      </c>
      <c r="H73" s="40">
        <v>218.221823529412</v>
      </c>
      <c r="I73" s="40">
        <v>196.341105263158</v>
      </c>
      <c r="J73" s="40">
        <v>74.1728571428572</v>
      </c>
      <c r="K73" s="40">
        <v>283.392285714286</v>
      </c>
      <c r="L73" s="40">
        <v>68.8245</v>
      </c>
      <c r="M73" s="40">
        <v>73.7785714285714</v>
      </c>
    </row>
    <row r="74" ht="25" customHeight="1" spans="1:13">
      <c r="A74" s="9"/>
      <c r="B74" s="31" t="s">
        <v>6</v>
      </c>
      <c r="C74" s="40">
        <v>23.6934500875658</v>
      </c>
      <c r="D74" s="40">
        <v>20.0333333333333</v>
      </c>
      <c r="E74" s="40">
        <v>18.0621718377088</v>
      </c>
      <c r="F74" s="40">
        <v>32.911068249258</v>
      </c>
      <c r="G74" s="40">
        <v>9.80545454545454</v>
      </c>
      <c r="H74" s="40">
        <v>18.5674224224225</v>
      </c>
      <c r="I74" s="40">
        <v>19.1995934122491</v>
      </c>
      <c r="J74" s="40">
        <v>24.3760563380281</v>
      </c>
      <c r="K74" s="40">
        <v>21.5390445168294</v>
      </c>
      <c r="L74" s="40">
        <v>21.3645898004436</v>
      </c>
      <c r="M74" s="40">
        <v>17.215</v>
      </c>
    </row>
    <row r="75" ht="25" customHeight="1" spans="1:13">
      <c r="A75" s="9" t="s">
        <v>39</v>
      </c>
      <c r="B75" s="9" t="s">
        <v>7</v>
      </c>
      <c r="C75" s="39">
        <v>41.0999999999994</v>
      </c>
      <c r="D75" s="39">
        <v>190.8</v>
      </c>
      <c r="E75" s="39">
        <v>145.800000000001</v>
      </c>
      <c r="F75" s="39">
        <v>53.2941176470595</v>
      </c>
      <c r="G75" s="39">
        <v>118.000000000001</v>
      </c>
      <c r="H75" s="39">
        <v>595.411764705882</v>
      </c>
      <c r="I75" s="39">
        <v>505.894736842105</v>
      </c>
      <c r="J75" s="39">
        <v>28.285714285714</v>
      </c>
      <c r="K75" s="39">
        <v>552</v>
      </c>
      <c r="L75" s="39">
        <v>147.857142857141</v>
      </c>
      <c r="M75" s="39">
        <v>220.285714285714</v>
      </c>
    </row>
    <row r="76" ht="25" customHeight="1" spans="1:13">
      <c r="A76" s="9"/>
      <c r="B76" s="9" t="s">
        <v>8</v>
      </c>
      <c r="C76" s="39">
        <v>33.5999999999994</v>
      </c>
      <c r="D76" s="39">
        <v>20.6999999999998</v>
      </c>
      <c r="E76" s="39">
        <v>28.2000000000002</v>
      </c>
      <c r="F76" s="39">
        <v>32.1176470588237</v>
      </c>
      <c r="G76" s="39">
        <v>7.00000000000002</v>
      </c>
      <c r="H76" s="39">
        <v>62.4705882352944</v>
      </c>
      <c r="I76" s="39">
        <v>97.5789473684208</v>
      </c>
      <c r="J76" s="39">
        <v>60.0000000000006</v>
      </c>
      <c r="K76" s="39">
        <v>90.8571428571426</v>
      </c>
      <c r="L76" s="39">
        <v>43.2857142857143</v>
      </c>
      <c r="M76" s="39">
        <v>36.8571428571428</v>
      </c>
    </row>
    <row r="77" ht="25" customHeight="1" spans="1:13">
      <c r="A77" s="9"/>
      <c r="B77" s="9" t="s">
        <v>9</v>
      </c>
      <c r="C77" s="41">
        <v>84</v>
      </c>
      <c r="D77" s="41">
        <v>0</v>
      </c>
      <c r="E77" s="41">
        <v>183</v>
      </c>
      <c r="F77" s="39">
        <v>7.05882352941162</v>
      </c>
      <c r="G77" s="41">
        <v>140</v>
      </c>
      <c r="H77" s="39">
        <v>10.5882352941175</v>
      </c>
      <c r="I77" s="39">
        <v>3.15789473684204</v>
      </c>
      <c r="J77" s="39">
        <v>77.1428571428574</v>
      </c>
      <c r="K77" s="39">
        <v>94.2857142857154</v>
      </c>
      <c r="L77" s="41">
        <v>0</v>
      </c>
      <c r="M77" s="41">
        <v>0</v>
      </c>
    </row>
    <row r="78" ht="25" customHeight="1" spans="1:13">
      <c r="A78" s="9"/>
      <c r="B78" s="9" t="s">
        <v>10</v>
      </c>
      <c r="C78" s="39">
        <v>12.6000000000008</v>
      </c>
      <c r="D78" s="41">
        <v>0</v>
      </c>
      <c r="E78" s="39">
        <v>20.1</v>
      </c>
      <c r="F78" s="39">
        <v>26.4705882352943</v>
      </c>
      <c r="G78" s="41">
        <v>64.9999999999992</v>
      </c>
      <c r="H78" s="39">
        <v>36.7058823529412</v>
      </c>
      <c r="I78" s="39">
        <v>6.94736842105266</v>
      </c>
      <c r="J78" s="39">
        <v>17.1428571428569</v>
      </c>
      <c r="K78" s="39">
        <v>52.2857142857152</v>
      </c>
      <c r="L78" s="39">
        <v>2.14285714285714</v>
      </c>
      <c r="M78" s="41">
        <v>0</v>
      </c>
    </row>
    <row r="79" ht="25" customHeight="1" spans="1:13">
      <c r="A79" s="9" t="s">
        <v>40</v>
      </c>
      <c r="B79" s="9" t="s">
        <v>11</v>
      </c>
      <c r="C79" s="40">
        <v>2946.4</v>
      </c>
      <c r="D79" s="40">
        <v>320.4</v>
      </c>
      <c r="E79" s="40">
        <v>439.8</v>
      </c>
      <c r="F79" s="40">
        <v>194.2</v>
      </c>
      <c r="G79" s="40">
        <v>12.8</v>
      </c>
      <c r="H79" s="40">
        <v>23.98</v>
      </c>
      <c r="I79" s="40">
        <v>20.32</v>
      </c>
      <c r="J79" s="40">
        <v>489</v>
      </c>
      <c r="K79" s="40">
        <v>11.96</v>
      </c>
      <c r="L79" s="40">
        <v>38.06</v>
      </c>
      <c r="M79" s="40">
        <v>116.24</v>
      </c>
    </row>
    <row r="80" ht="25" customHeight="1" spans="1:13">
      <c r="A80" s="9"/>
      <c r="B80" s="9" t="s">
        <v>12</v>
      </c>
      <c r="C80" s="40">
        <v>25.2</v>
      </c>
      <c r="D80" s="40">
        <v>25.52</v>
      </c>
      <c r="E80" s="40">
        <v>25.32</v>
      </c>
      <c r="F80" s="40">
        <v>24.94</v>
      </c>
      <c r="G80" s="40">
        <v>25.06</v>
      </c>
      <c r="H80" s="40">
        <v>24.1</v>
      </c>
      <c r="I80" s="40">
        <v>24.52</v>
      </c>
      <c r="J80" s="40">
        <v>25.15</v>
      </c>
      <c r="K80" s="40">
        <v>26.3</v>
      </c>
      <c r="L80" s="40">
        <v>26.52</v>
      </c>
      <c r="M80" s="40">
        <v>26.66</v>
      </c>
    </row>
    <row r="81" ht="25" customHeight="1" spans="1:13">
      <c r="A81" s="9"/>
      <c r="B81" s="9" t="s">
        <v>13</v>
      </c>
      <c r="C81" s="40">
        <v>52.94</v>
      </c>
      <c r="D81" s="40">
        <v>51.46</v>
      </c>
      <c r="E81" s="40">
        <v>50.8</v>
      </c>
      <c r="F81" s="40">
        <v>51.46</v>
      </c>
      <c r="G81" s="40">
        <v>49.88</v>
      </c>
      <c r="H81" s="40">
        <v>56.36</v>
      </c>
      <c r="I81" s="40">
        <v>50.38</v>
      </c>
      <c r="J81" s="40">
        <v>52.88</v>
      </c>
      <c r="K81" s="40">
        <v>48.52</v>
      </c>
      <c r="L81" s="40">
        <v>51.7</v>
      </c>
      <c r="M81" s="40">
        <v>46.42</v>
      </c>
    </row>
  </sheetData>
  <mergeCells count="14">
    <mergeCell ref="C1:M1"/>
    <mergeCell ref="A23:B23"/>
    <mergeCell ref="A24:B24"/>
    <mergeCell ref="A25:B25"/>
    <mergeCell ref="A26:B26"/>
    <mergeCell ref="A27:B27"/>
    <mergeCell ref="A28:B28"/>
    <mergeCell ref="A68:B68"/>
    <mergeCell ref="A1:A2"/>
    <mergeCell ref="A69:A70"/>
    <mergeCell ref="A71:A74"/>
    <mergeCell ref="A75:A78"/>
    <mergeCell ref="A79:A81"/>
    <mergeCell ref="B1:B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N14" sqref="N14"/>
    </sheetView>
  </sheetViews>
  <sheetFormatPr defaultColWidth="9.02654867256637" defaultRowHeight="13.5"/>
  <cols>
    <col min="1" max="1" width="17.9911504424779" customWidth="1"/>
    <col min="2" max="7" width="13.858407079646"/>
  </cols>
  <sheetData>
    <row r="1" ht="26" customHeight="1" spans="1:10">
      <c r="A1" s="1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J1" s="32">
        <v>37.1651378296303</v>
      </c>
    </row>
    <row r="2" ht="20" customHeight="1" spans="1:10">
      <c r="A2" s="31" t="s">
        <v>48</v>
      </c>
      <c r="B2" s="29">
        <v>0.408662506029459</v>
      </c>
      <c r="C2" s="29">
        <v>0.0135469696252862</v>
      </c>
      <c r="D2" s="29">
        <v>-0.191563643707234</v>
      </c>
      <c r="E2" s="29">
        <v>0.255430003444308</v>
      </c>
      <c r="F2" s="29">
        <v>-0.0428977730758425</v>
      </c>
      <c r="G2" s="29">
        <v>-0.258491847051014</v>
      </c>
      <c r="J2" s="32">
        <v>22.1205015177281</v>
      </c>
    </row>
    <row r="3" ht="20" customHeight="1" spans="1:10">
      <c r="A3" s="31" t="s">
        <v>49</v>
      </c>
      <c r="B3" s="29">
        <v>-0.212417946867516</v>
      </c>
      <c r="C3" s="29">
        <v>-0.358773169830541</v>
      </c>
      <c r="D3" s="29">
        <v>-0.266945522942391</v>
      </c>
      <c r="E3" s="29">
        <v>-0.0949311301501766</v>
      </c>
      <c r="F3" s="29">
        <v>-0.313082545307317</v>
      </c>
      <c r="G3" s="29">
        <v>-0.394885644941416</v>
      </c>
      <c r="J3" s="32">
        <v>16.0967960694625</v>
      </c>
    </row>
    <row r="4" ht="20" customHeight="1" spans="1:10">
      <c r="A4" s="31" t="s">
        <v>50</v>
      </c>
      <c r="B4" s="29">
        <v>0.116917036373702</v>
      </c>
      <c r="C4" s="29">
        <v>0.452125430625468</v>
      </c>
      <c r="D4" s="29">
        <v>-0.20655135476371</v>
      </c>
      <c r="E4" s="29">
        <v>0.117355937669867</v>
      </c>
      <c r="F4" s="29">
        <v>-0.22762163503468</v>
      </c>
      <c r="G4" s="29">
        <v>0.358013640833457</v>
      </c>
      <c r="J4" s="32">
        <v>8.60187839803487</v>
      </c>
    </row>
    <row r="5" ht="20" customHeight="1" spans="1:10">
      <c r="A5" s="31" t="s">
        <v>51</v>
      </c>
      <c r="B5" s="29">
        <v>0.42806746303929</v>
      </c>
      <c r="C5" s="29">
        <v>-0.181275391032438</v>
      </c>
      <c r="D5" s="29">
        <v>-0.0128813016148032</v>
      </c>
      <c r="E5" s="29">
        <v>0.00125582592785273</v>
      </c>
      <c r="F5" s="29">
        <v>-0.109474887746668</v>
      </c>
      <c r="G5" s="29">
        <v>0.0795238847100262</v>
      </c>
      <c r="J5" s="32">
        <v>5.81016339779023</v>
      </c>
    </row>
    <row r="6" ht="20" customHeight="1" spans="1:10">
      <c r="A6" s="31" t="s">
        <v>52</v>
      </c>
      <c r="B6" s="29">
        <v>0.444131923982865</v>
      </c>
      <c r="C6" s="29">
        <v>-0.0622692668478882</v>
      </c>
      <c r="D6" s="29">
        <v>0.0438550471710136</v>
      </c>
      <c r="E6" s="29">
        <v>0.116279670267615</v>
      </c>
      <c r="F6" s="29">
        <v>-0.00411278730146395</v>
      </c>
      <c r="G6" s="29">
        <v>0.000560955624435144</v>
      </c>
      <c r="J6" s="32">
        <v>4.28548889904636</v>
      </c>
    </row>
    <row r="7" ht="20" customHeight="1" spans="1:10">
      <c r="A7" s="31" t="s">
        <v>53</v>
      </c>
      <c r="B7" s="29">
        <v>-0.0123072399810427</v>
      </c>
      <c r="C7" s="29">
        <v>0.46120057338268</v>
      </c>
      <c r="D7" s="29">
        <v>0.0881622398380607</v>
      </c>
      <c r="E7" s="29">
        <v>0.168632606785744</v>
      </c>
      <c r="F7" s="29">
        <v>0.576155148140939</v>
      </c>
      <c r="G7" s="29">
        <v>-0.315010621823013</v>
      </c>
      <c r="J7" s="32">
        <v>2.61210844819066</v>
      </c>
    </row>
    <row r="8" ht="20" customHeight="1" spans="1:10">
      <c r="A8" s="9" t="s">
        <v>54</v>
      </c>
      <c r="B8" s="29">
        <v>0.418862503561367</v>
      </c>
      <c r="C8" s="29">
        <v>-0.0971657077806014</v>
      </c>
      <c r="D8" s="29">
        <v>0.119494394916805</v>
      </c>
      <c r="E8" s="29">
        <v>-0.158358953640614</v>
      </c>
      <c r="F8" s="29">
        <v>-0.24338874053712</v>
      </c>
      <c r="G8" s="29">
        <v>-0.0409369907758671</v>
      </c>
      <c r="J8" s="32">
        <v>2.21135700953942</v>
      </c>
    </row>
    <row r="9" ht="20" customHeight="1" spans="1:10">
      <c r="A9" s="9" t="s">
        <v>55</v>
      </c>
      <c r="B9" s="29">
        <v>0.388904957844428</v>
      </c>
      <c r="C9" s="29">
        <v>0.109128256698096</v>
      </c>
      <c r="D9" s="29">
        <v>0.205241491259237</v>
      </c>
      <c r="E9" s="29">
        <v>0.149382834404551</v>
      </c>
      <c r="F9" s="29">
        <v>0.0304620612819022</v>
      </c>
      <c r="G9" s="29">
        <v>-0.104952751850397</v>
      </c>
      <c r="J9" s="32">
        <v>1.0611286438733</v>
      </c>
    </row>
    <row r="10" ht="20" customHeight="1" spans="1:10">
      <c r="A10" s="9" t="s">
        <v>56</v>
      </c>
      <c r="B10" s="29">
        <v>-0.0312567724691587</v>
      </c>
      <c r="C10" s="29">
        <v>-0.261223308913668</v>
      </c>
      <c r="D10" s="29">
        <v>-0.409631663040588</v>
      </c>
      <c r="E10" s="29">
        <v>0.458755285188423</v>
      </c>
      <c r="F10" s="29">
        <v>0.214539531035482</v>
      </c>
      <c r="G10" s="29">
        <v>0.55556672385768</v>
      </c>
      <c r="J10" s="32">
        <v>0.0354397867042966</v>
      </c>
    </row>
    <row r="11" ht="20" customHeight="1" spans="1:7">
      <c r="A11" s="9" t="s">
        <v>57</v>
      </c>
      <c r="B11" s="29">
        <v>0.143445841345519</v>
      </c>
      <c r="C11" s="29">
        <v>-0.377015938898105</v>
      </c>
      <c r="D11" s="29">
        <v>-0.343631182551156</v>
      </c>
      <c r="E11" s="29">
        <v>-0.0146485550021332</v>
      </c>
      <c r="F11" s="29">
        <v>0.502863567218375</v>
      </c>
      <c r="G11" s="29">
        <v>-0.269564792045691</v>
      </c>
    </row>
    <row r="12" ht="20" customHeight="1" spans="1:7">
      <c r="A12" s="9" t="s">
        <v>58</v>
      </c>
      <c r="B12" s="29">
        <v>-0.125881617922711</v>
      </c>
      <c r="C12" s="29">
        <v>0.242656528974978</v>
      </c>
      <c r="D12" s="29">
        <v>-0.341801911977899</v>
      </c>
      <c r="E12" s="29">
        <v>0.501297799591944</v>
      </c>
      <c r="F12" s="29">
        <v>-0.375475324756684</v>
      </c>
      <c r="G12" s="29">
        <v>-0.379867903190612</v>
      </c>
    </row>
    <row r="13" ht="20" customHeight="1" spans="1:7">
      <c r="A13" s="9" t="s">
        <v>59</v>
      </c>
      <c r="B13" s="29">
        <v>-0.149628692410258</v>
      </c>
      <c r="C13" s="29">
        <v>-0.163430823844774</v>
      </c>
      <c r="D13" s="29">
        <v>0.463042091126673</v>
      </c>
      <c r="E13" s="29">
        <v>0.446584816569958</v>
      </c>
      <c r="F13" s="29">
        <v>-0.0641027840170155</v>
      </c>
      <c r="G13" s="29">
        <v>-0.0673773219974219</v>
      </c>
    </row>
    <row r="14" ht="20" customHeight="1" spans="1:7">
      <c r="A14" s="9" t="s">
        <v>60</v>
      </c>
      <c r="B14" s="29">
        <v>0.0841195932997054</v>
      </c>
      <c r="C14" s="29">
        <v>0.316095045217324</v>
      </c>
      <c r="D14" s="29">
        <v>-0.407428801245699</v>
      </c>
      <c r="E14" s="29">
        <v>-0.401510173399653</v>
      </c>
      <c r="F14" s="29">
        <v>0.014669394232662</v>
      </c>
      <c r="G14" s="29">
        <v>-0.0258391976520007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3"/>
  <sheetViews>
    <sheetView workbookViewId="0">
      <selection activeCell="I11" sqref="I11"/>
    </sheetView>
  </sheetViews>
  <sheetFormatPr defaultColWidth="9.02654867256637" defaultRowHeight="13.5" outlineLevelCol="6"/>
  <sheetData>
    <row r="1" ht="31.5" spans="1:7">
      <c r="A1" s="20" t="s">
        <v>61</v>
      </c>
      <c r="B1" s="20" t="s">
        <v>62</v>
      </c>
      <c r="C1" s="20" t="s">
        <v>63</v>
      </c>
      <c r="D1" s="21" t="s">
        <v>64</v>
      </c>
      <c r="E1" s="21" t="s">
        <v>65</v>
      </c>
      <c r="F1" s="22" t="s">
        <v>66</v>
      </c>
      <c r="G1" s="21" t="s">
        <v>67</v>
      </c>
    </row>
    <row r="2" ht="15" spans="1:7">
      <c r="A2" s="23">
        <v>1</v>
      </c>
      <c r="B2" s="23">
        <v>1</v>
      </c>
      <c r="C2" s="23">
        <v>1</v>
      </c>
      <c r="D2" s="24">
        <v>1801.48675213675</v>
      </c>
      <c r="E2" s="24">
        <v>2182.23162393162</v>
      </c>
      <c r="F2" s="23" t="s">
        <v>68</v>
      </c>
      <c r="G2" s="23" t="s">
        <v>68</v>
      </c>
    </row>
    <row r="3" ht="15" spans="1:7">
      <c r="A3" s="23">
        <v>2</v>
      </c>
      <c r="B3" s="23">
        <v>1</v>
      </c>
      <c r="C3" s="23">
        <v>4</v>
      </c>
      <c r="D3" s="24">
        <v>1759.49871794872</v>
      </c>
      <c r="E3" s="24">
        <v>2185.23076923077</v>
      </c>
      <c r="F3" s="23" t="s">
        <v>68</v>
      </c>
      <c r="G3" s="23" t="s">
        <v>68</v>
      </c>
    </row>
    <row r="4" ht="15" spans="1:7">
      <c r="A4" s="23">
        <v>3</v>
      </c>
      <c r="B4" s="23">
        <v>1</v>
      </c>
      <c r="C4" s="23">
        <v>2</v>
      </c>
      <c r="D4" s="24">
        <v>1777.49358974359</v>
      </c>
      <c r="E4" s="24">
        <v>2062.26581196581</v>
      </c>
      <c r="F4" s="23" t="s">
        <v>68</v>
      </c>
      <c r="G4" s="23" t="s">
        <v>69</v>
      </c>
    </row>
    <row r="5" ht="15" spans="1:7">
      <c r="A5" s="23">
        <v>4</v>
      </c>
      <c r="B5" s="23">
        <v>1</v>
      </c>
      <c r="C5" s="23">
        <v>1</v>
      </c>
      <c r="D5" s="24">
        <v>1852.47222222222</v>
      </c>
      <c r="E5" s="24">
        <v>1858.32393162393</v>
      </c>
      <c r="F5" s="23" t="s">
        <v>69</v>
      </c>
      <c r="G5" s="23" t="s">
        <v>70</v>
      </c>
    </row>
    <row r="6" ht="15" spans="1:7">
      <c r="A6" s="23">
        <v>5</v>
      </c>
      <c r="B6" s="23">
        <v>1</v>
      </c>
      <c r="C6" s="23">
        <v>2</v>
      </c>
      <c r="D6" s="24">
        <v>1753.50042735043</v>
      </c>
      <c r="E6" s="24">
        <v>1528.41794871795</v>
      </c>
      <c r="F6" s="23" t="s">
        <v>70</v>
      </c>
      <c r="G6" s="23" t="s">
        <v>70</v>
      </c>
    </row>
    <row r="7" ht="15" spans="1:7">
      <c r="A7" s="23">
        <v>6</v>
      </c>
      <c r="B7" s="23">
        <v>1</v>
      </c>
      <c r="C7" s="23">
        <v>1</v>
      </c>
      <c r="D7" s="24">
        <v>1756.49957264957</v>
      </c>
      <c r="E7" s="24">
        <v>1306.4811965812</v>
      </c>
      <c r="F7" s="23" t="s">
        <v>70</v>
      </c>
      <c r="G7" s="23" t="s">
        <v>71</v>
      </c>
    </row>
    <row r="8" ht="15" spans="1:7">
      <c r="A8" s="23">
        <v>7</v>
      </c>
      <c r="B8" s="23" t="s">
        <v>72</v>
      </c>
      <c r="C8" s="23">
        <v>3</v>
      </c>
      <c r="D8" s="24">
        <v>1630.53547008547</v>
      </c>
      <c r="E8" s="24">
        <v>1399.4547008547</v>
      </c>
      <c r="F8" s="23" t="s">
        <v>71</v>
      </c>
      <c r="G8" s="23" t="s">
        <v>73</v>
      </c>
    </row>
    <row r="9" ht="15" spans="1:7">
      <c r="A9" s="23">
        <v>8</v>
      </c>
      <c r="B9" s="23" t="s">
        <v>72</v>
      </c>
      <c r="C9" s="23">
        <v>1</v>
      </c>
      <c r="D9" s="24">
        <v>1384.60555555556</v>
      </c>
      <c r="E9" s="24">
        <v>1309.48034188034</v>
      </c>
      <c r="F9" s="23" t="s">
        <v>73</v>
      </c>
      <c r="G9" s="23" t="s">
        <v>74</v>
      </c>
    </row>
    <row r="10" ht="15" spans="1:7">
      <c r="A10" s="23">
        <v>9</v>
      </c>
      <c r="B10" s="23" t="s">
        <v>72</v>
      </c>
      <c r="C10" s="23">
        <v>4</v>
      </c>
      <c r="D10" s="24">
        <v>1309.62692307692</v>
      </c>
      <c r="E10" s="24">
        <v>1282.48803418803</v>
      </c>
      <c r="F10" s="23" t="s">
        <v>74</v>
      </c>
      <c r="G10" s="23" t="s">
        <v>74</v>
      </c>
    </row>
    <row r="11" ht="15" spans="1:7">
      <c r="A11" s="23">
        <v>10</v>
      </c>
      <c r="B11" s="23" t="s">
        <v>72</v>
      </c>
      <c r="C11" s="23">
        <v>1</v>
      </c>
      <c r="D11" s="24">
        <v>1213.65427350427</v>
      </c>
      <c r="E11" s="24">
        <v>1273.4905982906</v>
      </c>
      <c r="F11" s="23" t="s">
        <v>74</v>
      </c>
      <c r="G11" s="23" t="s">
        <v>74</v>
      </c>
    </row>
    <row r="12" ht="15" spans="1:7">
      <c r="A12" s="23">
        <v>11</v>
      </c>
      <c r="B12" s="23" t="s">
        <v>72</v>
      </c>
      <c r="C12" s="23">
        <v>1</v>
      </c>
      <c r="D12" s="24">
        <v>1204.65683760684</v>
      </c>
      <c r="E12" s="24">
        <v>1231.50256410256</v>
      </c>
      <c r="F12" s="23" t="s">
        <v>74</v>
      </c>
      <c r="G12" s="23" t="s">
        <v>75</v>
      </c>
    </row>
    <row r="13" ht="15" spans="1:7">
      <c r="A13" s="23">
        <v>12</v>
      </c>
      <c r="B13" s="23" t="s">
        <v>72</v>
      </c>
      <c r="C13" s="23">
        <v>2</v>
      </c>
      <c r="D13" s="24">
        <v>1198.65854700855</v>
      </c>
      <c r="E13" s="24">
        <v>1165.52136752137</v>
      </c>
      <c r="F13" s="23" t="s">
        <v>75</v>
      </c>
      <c r="G13" s="23" t="s">
        <v>75</v>
      </c>
    </row>
    <row r="14" ht="15" spans="1:7">
      <c r="A14" s="23">
        <v>13</v>
      </c>
      <c r="B14" s="23" t="s">
        <v>72</v>
      </c>
      <c r="C14" s="23">
        <v>1</v>
      </c>
      <c r="D14" s="24">
        <v>1192.66025641026</v>
      </c>
      <c r="E14" s="24">
        <v>1093.54188034188</v>
      </c>
      <c r="F14" s="23" t="s">
        <v>75</v>
      </c>
      <c r="G14" s="23" t="s">
        <v>76</v>
      </c>
    </row>
    <row r="15" ht="15" spans="1:7">
      <c r="A15" s="23">
        <v>14</v>
      </c>
      <c r="B15" s="23" t="s">
        <v>77</v>
      </c>
      <c r="C15" s="23">
        <v>1</v>
      </c>
      <c r="D15" s="24">
        <v>1153.67136752137</v>
      </c>
      <c r="E15" s="24">
        <v>895.598290598291</v>
      </c>
      <c r="F15" s="23" t="s">
        <v>76</v>
      </c>
      <c r="G15" s="23" t="s">
        <v>78</v>
      </c>
    </row>
    <row r="16" ht="15" spans="1:7">
      <c r="A16" s="23">
        <v>15</v>
      </c>
      <c r="B16" s="23" t="s">
        <v>77</v>
      </c>
      <c r="C16" s="23">
        <v>2</v>
      </c>
      <c r="D16" s="24">
        <v>1336.61923076923</v>
      </c>
      <c r="E16" s="24">
        <v>808.623076923077</v>
      </c>
      <c r="F16" s="23" t="s">
        <v>78</v>
      </c>
      <c r="G16" s="23" t="s">
        <v>78</v>
      </c>
    </row>
    <row r="17" ht="15" spans="1:7">
      <c r="A17" s="23">
        <v>16</v>
      </c>
      <c r="B17" s="23" t="s">
        <v>77</v>
      </c>
      <c r="C17" s="23">
        <v>1</v>
      </c>
      <c r="D17" s="24">
        <v>1342.61752136752</v>
      </c>
      <c r="E17" s="24">
        <v>763.635897435897</v>
      </c>
      <c r="F17" s="23" t="s">
        <v>78</v>
      </c>
      <c r="G17" s="23" t="s">
        <v>79</v>
      </c>
    </row>
    <row r="18" ht="15" spans="1:7">
      <c r="A18" s="23">
        <v>17</v>
      </c>
      <c r="B18" s="23" t="s">
        <v>77</v>
      </c>
      <c r="C18" s="23">
        <v>1</v>
      </c>
      <c r="D18" s="24">
        <v>1333.62008547009</v>
      </c>
      <c r="E18" s="24">
        <v>616.677777777778</v>
      </c>
      <c r="F18" s="23" t="s">
        <v>79</v>
      </c>
      <c r="G18" s="23" t="s">
        <v>79</v>
      </c>
    </row>
    <row r="19" ht="15" spans="1:7">
      <c r="A19" s="23">
        <v>18</v>
      </c>
      <c r="B19" s="23" t="s">
        <v>77</v>
      </c>
      <c r="C19" s="23">
        <v>2</v>
      </c>
      <c r="D19" s="24">
        <v>1276.63632478632</v>
      </c>
      <c r="E19" s="24">
        <v>622.676068376068</v>
      </c>
      <c r="F19" s="23" t="s">
        <v>79</v>
      </c>
      <c r="G19" s="23" t="s">
        <v>80</v>
      </c>
    </row>
    <row r="20" ht="15" spans="1:7">
      <c r="A20" s="23">
        <v>19</v>
      </c>
      <c r="B20" s="23">
        <v>1</v>
      </c>
      <c r="C20" s="23">
        <v>1</v>
      </c>
      <c r="D20" s="24">
        <v>1372.60897435897</v>
      </c>
      <c r="E20" s="24">
        <v>523.704273504273</v>
      </c>
      <c r="F20" s="23" t="s">
        <v>80</v>
      </c>
      <c r="G20" s="23" t="s">
        <v>81</v>
      </c>
    </row>
    <row r="21" ht="15" spans="1:7">
      <c r="A21" s="23">
        <v>20</v>
      </c>
      <c r="B21" s="23">
        <v>1</v>
      </c>
      <c r="C21" s="23">
        <v>2</v>
      </c>
      <c r="D21" s="24">
        <v>1594.54572649573</v>
      </c>
      <c r="E21" s="24">
        <v>301.767521367521</v>
      </c>
      <c r="F21" s="23" t="s">
        <v>81</v>
      </c>
      <c r="G21" s="23" t="s">
        <v>82</v>
      </c>
    </row>
    <row r="22" ht="15" spans="1:7">
      <c r="A22" s="23">
        <v>21</v>
      </c>
      <c r="B22" s="23">
        <v>1</v>
      </c>
      <c r="C22" s="23">
        <v>1</v>
      </c>
      <c r="D22" s="24">
        <v>2248.3594017094</v>
      </c>
      <c r="E22" s="24">
        <v>295.76923076923</v>
      </c>
      <c r="F22" s="23" t="s">
        <v>82</v>
      </c>
      <c r="G22" s="23" t="s">
        <v>82</v>
      </c>
    </row>
    <row r="23" ht="15" spans="1:7">
      <c r="A23" s="23">
        <v>22</v>
      </c>
      <c r="B23" s="23">
        <v>1</v>
      </c>
      <c r="C23" s="23">
        <v>2</v>
      </c>
      <c r="D23" s="24">
        <v>2137.39102564103</v>
      </c>
      <c r="E23" s="24">
        <v>502.710256410256</v>
      </c>
      <c r="F23" s="23" t="s">
        <v>82</v>
      </c>
      <c r="G23" s="23" t="s">
        <v>82</v>
      </c>
    </row>
    <row r="24" ht="15" spans="1:7">
      <c r="A24" s="23">
        <v>23</v>
      </c>
      <c r="B24" s="23">
        <v>1</v>
      </c>
      <c r="C24" s="23">
        <v>1</v>
      </c>
      <c r="D24" s="24">
        <v>2209.37051282051</v>
      </c>
      <c r="E24" s="24">
        <v>568.691452991453</v>
      </c>
      <c r="F24" s="23" t="s">
        <v>82</v>
      </c>
      <c r="G24" s="23" t="s">
        <v>83</v>
      </c>
    </row>
    <row r="25" ht="15" spans="1:7">
      <c r="A25" s="23">
        <v>24</v>
      </c>
      <c r="B25" s="23">
        <v>1</v>
      </c>
      <c r="C25" s="23">
        <v>2</v>
      </c>
      <c r="D25" s="24">
        <v>2236.36282051282</v>
      </c>
      <c r="E25" s="24">
        <v>628.674358974359</v>
      </c>
      <c r="F25" s="23" t="s">
        <v>83</v>
      </c>
      <c r="G25" s="23" t="s">
        <v>84</v>
      </c>
    </row>
    <row r="26" ht="15" spans="1:7">
      <c r="A26" s="24">
        <v>25</v>
      </c>
      <c r="B26" s="24">
        <v>1</v>
      </c>
      <c r="C26" s="24">
        <v>2</v>
      </c>
      <c r="D26" s="24">
        <v>2149.38760683761</v>
      </c>
      <c r="E26" s="24">
        <v>778.631623931624</v>
      </c>
      <c r="F26" s="24" t="s">
        <v>84</v>
      </c>
      <c r="G26" s="24" t="s">
        <v>84</v>
      </c>
    </row>
    <row r="27" ht="15" spans="1:7">
      <c r="A27" s="24">
        <v>26</v>
      </c>
      <c r="B27" s="24">
        <v>1</v>
      </c>
      <c r="C27" s="24">
        <v>1</v>
      </c>
      <c r="D27" s="24">
        <v>2245.36025641026</v>
      </c>
      <c r="E27" s="24">
        <v>967.577777777778</v>
      </c>
      <c r="F27" s="24" t="s">
        <v>84</v>
      </c>
      <c r="G27" s="24" t="s">
        <v>84</v>
      </c>
    </row>
    <row r="28" ht="15" spans="1:7">
      <c r="A28" s="24">
        <v>27</v>
      </c>
      <c r="B28" s="24">
        <v>1</v>
      </c>
      <c r="C28" s="24">
        <v>1</v>
      </c>
      <c r="D28" s="24">
        <v>2311.34145299145</v>
      </c>
      <c r="E28" s="24">
        <v>958.580341880342</v>
      </c>
      <c r="F28" s="24" t="s">
        <v>84</v>
      </c>
      <c r="G28" s="24" t="s">
        <v>85</v>
      </c>
    </row>
    <row r="29" ht="15" spans="1:7">
      <c r="A29" s="24">
        <v>28</v>
      </c>
      <c r="B29" s="24">
        <v>1</v>
      </c>
      <c r="C29" s="24">
        <v>2</v>
      </c>
      <c r="D29" s="24">
        <v>2194.37478632479</v>
      </c>
      <c r="E29" s="24">
        <v>1039.55726495727</v>
      </c>
      <c r="F29" s="24" t="s">
        <v>85</v>
      </c>
      <c r="G29" s="24" t="s">
        <v>85</v>
      </c>
    </row>
    <row r="30" ht="15" spans="1:7">
      <c r="A30" s="24">
        <v>29</v>
      </c>
      <c r="B30" s="24">
        <v>1</v>
      </c>
      <c r="C30" s="24">
        <v>1</v>
      </c>
      <c r="D30" s="24">
        <v>2164.38333333333</v>
      </c>
      <c r="E30" s="24">
        <v>1123.53333333333</v>
      </c>
      <c r="F30" s="24" t="s">
        <v>85</v>
      </c>
      <c r="G30" s="24" t="s">
        <v>85</v>
      </c>
    </row>
    <row r="31" ht="15" spans="1:7">
      <c r="A31" s="24">
        <v>30</v>
      </c>
      <c r="B31" s="24">
        <v>1</v>
      </c>
      <c r="C31" s="24">
        <v>1</v>
      </c>
      <c r="D31" s="24">
        <v>2185.37735042735</v>
      </c>
      <c r="E31" s="24">
        <v>1246.49829059829</v>
      </c>
      <c r="F31" s="24" t="s">
        <v>85</v>
      </c>
      <c r="G31" s="24" t="s">
        <v>86</v>
      </c>
    </row>
    <row r="32" ht="15" spans="1:7">
      <c r="A32" s="24">
        <v>31</v>
      </c>
      <c r="B32" s="24">
        <v>1</v>
      </c>
      <c r="C32" s="24">
        <v>3</v>
      </c>
      <c r="D32" s="24">
        <v>1885.46282051282</v>
      </c>
      <c r="E32" s="24">
        <v>1393.45641025641</v>
      </c>
      <c r="F32" s="24" t="s">
        <v>86</v>
      </c>
      <c r="G32" s="24">
        <v>9.55</v>
      </c>
    </row>
    <row r="33" ht="15" spans="1:7">
      <c r="A33" s="24">
        <v>32</v>
      </c>
      <c r="B33" s="24">
        <v>1</v>
      </c>
      <c r="C33" s="24">
        <v>4</v>
      </c>
      <c r="D33" s="24">
        <v>1912</v>
      </c>
      <c r="E33" s="24">
        <v>1321</v>
      </c>
      <c r="F33" s="24" t="s">
        <v>87</v>
      </c>
      <c r="G33" s="24" t="s">
        <v>88</v>
      </c>
    </row>
    <row r="34" ht="15" spans="1:7">
      <c r="A34" s="24">
        <v>33</v>
      </c>
      <c r="B34" s="24">
        <v>1</v>
      </c>
      <c r="C34" s="24">
        <v>1</v>
      </c>
      <c r="D34" s="24">
        <v>1937</v>
      </c>
      <c r="E34" s="24">
        <v>1275</v>
      </c>
      <c r="F34" s="24" t="s">
        <v>88</v>
      </c>
      <c r="G34" s="24" t="s">
        <v>89</v>
      </c>
    </row>
    <row r="35" ht="15" spans="1:7">
      <c r="A35" s="24">
        <v>34</v>
      </c>
      <c r="B35" s="24">
        <v>1</v>
      </c>
      <c r="C35" s="24">
        <v>1</v>
      </c>
      <c r="D35" s="24">
        <v>1762.49786324786</v>
      </c>
      <c r="E35" s="24">
        <v>1018.56324786325</v>
      </c>
      <c r="F35" s="24" t="s">
        <v>89</v>
      </c>
      <c r="G35" s="24" t="s">
        <v>89</v>
      </c>
    </row>
    <row r="36" ht="15" spans="1:7">
      <c r="A36" s="24">
        <v>35</v>
      </c>
      <c r="B36" s="24">
        <v>1</v>
      </c>
      <c r="C36" s="24">
        <v>1</v>
      </c>
      <c r="D36" s="24">
        <v>1345.61666666667</v>
      </c>
      <c r="E36" s="24">
        <v>1150.52564102564</v>
      </c>
      <c r="F36" s="24" t="s">
        <v>89</v>
      </c>
      <c r="G36" s="24" t="s">
        <v>90</v>
      </c>
    </row>
    <row r="37" ht="15" spans="1:7">
      <c r="A37" s="24">
        <v>36</v>
      </c>
      <c r="B37" s="24">
        <v>1</v>
      </c>
      <c r="C37" s="24">
        <v>1</v>
      </c>
      <c r="D37" s="24">
        <v>1393.60299145299</v>
      </c>
      <c r="E37" s="24">
        <v>1144.52735042735</v>
      </c>
      <c r="F37" s="24" t="s">
        <v>90</v>
      </c>
      <c r="G37" s="24" t="s">
        <v>90</v>
      </c>
    </row>
    <row r="38" ht="15" spans="1:7">
      <c r="A38" s="24">
        <v>37</v>
      </c>
      <c r="B38" s="24">
        <v>1</v>
      </c>
      <c r="C38" s="24">
        <v>1</v>
      </c>
      <c r="D38" s="24">
        <v>1399.60128205128</v>
      </c>
      <c r="E38" s="24">
        <v>1075.54700854701</v>
      </c>
      <c r="F38" s="24" t="s">
        <v>90</v>
      </c>
      <c r="G38" s="24" t="s">
        <v>91</v>
      </c>
    </row>
    <row r="39" ht="15" spans="1:7">
      <c r="A39" s="24">
        <v>38</v>
      </c>
      <c r="B39" s="24">
        <v>1</v>
      </c>
      <c r="C39" s="24">
        <v>1</v>
      </c>
      <c r="D39" s="24">
        <v>1375.60811965812</v>
      </c>
      <c r="E39" s="24">
        <v>1102.53931623932</v>
      </c>
      <c r="F39" s="24" t="s">
        <v>91</v>
      </c>
      <c r="G39" s="24" t="s">
        <v>91</v>
      </c>
    </row>
    <row r="40" ht="15" spans="1:7">
      <c r="A40" s="24">
        <v>39</v>
      </c>
      <c r="B40" s="24">
        <v>1</v>
      </c>
      <c r="C40" s="24">
        <v>1</v>
      </c>
      <c r="D40" s="24">
        <v>1249.64401709402</v>
      </c>
      <c r="E40" s="24">
        <v>1069.54871794872</v>
      </c>
      <c r="F40" s="24" t="s">
        <v>91</v>
      </c>
      <c r="G40" s="24" t="s">
        <v>92</v>
      </c>
    </row>
    <row r="41" ht="15" spans="1:7">
      <c r="A41" s="24">
        <v>40</v>
      </c>
      <c r="B41" s="24">
        <v>1</v>
      </c>
      <c r="C41" s="24">
        <v>1</v>
      </c>
      <c r="D41" s="24">
        <v>1282.63461538462</v>
      </c>
      <c r="E41" s="24">
        <v>1003.56752136752</v>
      </c>
      <c r="F41" s="24" t="s">
        <v>92</v>
      </c>
      <c r="G41" s="24" t="s">
        <v>92</v>
      </c>
    </row>
    <row r="42" ht="15" spans="1:7">
      <c r="A42" s="24">
        <v>41</v>
      </c>
      <c r="B42" s="24">
        <v>1</v>
      </c>
      <c r="C42" s="24">
        <v>1</v>
      </c>
      <c r="D42" s="24">
        <v>1219.65256410256</v>
      </c>
      <c r="E42" s="24">
        <v>964.578632478633</v>
      </c>
      <c r="F42" s="24" t="s">
        <v>92</v>
      </c>
      <c r="G42" s="24" t="s">
        <v>93</v>
      </c>
    </row>
    <row r="43" ht="15" spans="1:7">
      <c r="A43" s="24">
        <v>42</v>
      </c>
      <c r="B43" s="24">
        <v>1</v>
      </c>
      <c r="C43" s="24">
        <v>1</v>
      </c>
      <c r="D43" s="24">
        <v>1240.64658119658</v>
      </c>
      <c r="E43" s="24">
        <v>943.584615384616</v>
      </c>
      <c r="F43" s="24" t="s">
        <v>93</v>
      </c>
      <c r="G43" s="24" t="s">
        <v>93</v>
      </c>
    </row>
    <row r="44" ht="15" spans="1:7">
      <c r="A44" s="24">
        <v>43</v>
      </c>
      <c r="B44" s="24">
        <v>1</v>
      </c>
      <c r="C44" s="24">
        <v>1</v>
      </c>
      <c r="D44" s="24">
        <v>1399.60128205128</v>
      </c>
      <c r="E44" s="24">
        <v>955.581196581197</v>
      </c>
      <c r="F44" s="24" t="s">
        <v>93</v>
      </c>
      <c r="G44" s="24" t="s">
        <v>94</v>
      </c>
    </row>
    <row r="45" ht="15" spans="1:7">
      <c r="A45" s="24">
        <v>44</v>
      </c>
      <c r="B45" s="24">
        <v>1</v>
      </c>
      <c r="C45" s="24">
        <v>1</v>
      </c>
      <c r="D45" s="24">
        <v>1345.61666666667</v>
      </c>
      <c r="E45" s="24">
        <v>697.654700854701</v>
      </c>
      <c r="F45" s="24" t="s">
        <v>94</v>
      </c>
      <c r="G45" s="24" t="s">
        <v>94</v>
      </c>
    </row>
    <row r="46" ht="15" spans="1:7">
      <c r="A46" s="24">
        <v>45</v>
      </c>
      <c r="B46" s="24">
        <v>1</v>
      </c>
      <c r="C46" s="24">
        <v>1</v>
      </c>
      <c r="D46" s="24">
        <v>1387.6047008547</v>
      </c>
      <c r="E46" s="24">
        <v>682.658974358974</v>
      </c>
      <c r="F46" s="24" t="s">
        <v>94</v>
      </c>
      <c r="G46" s="24" t="s">
        <v>95</v>
      </c>
    </row>
    <row r="47" ht="15" spans="1:7">
      <c r="A47" s="24">
        <v>46</v>
      </c>
      <c r="B47" s="24">
        <v>1</v>
      </c>
      <c r="C47" s="24">
        <v>4</v>
      </c>
      <c r="D47" s="24">
        <v>1396.60213675214</v>
      </c>
      <c r="E47" s="24">
        <v>631.673504273504</v>
      </c>
      <c r="F47" s="24" t="s">
        <v>95</v>
      </c>
      <c r="G47" s="24" t="s">
        <v>95</v>
      </c>
    </row>
    <row r="48" ht="15" spans="1:7">
      <c r="A48" s="24">
        <v>47</v>
      </c>
      <c r="B48" s="24">
        <v>1</v>
      </c>
      <c r="C48" s="24">
        <v>1</v>
      </c>
      <c r="D48" s="24">
        <v>1294.6311965812</v>
      </c>
      <c r="E48" s="24">
        <v>634.672649572649</v>
      </c>
      <c r="F48" s="24" t="s">
        <v>95</v>
      </c>
      <c r="G48" s="24" t="s">
        <v>96</v>
      </c>
    </row>
    <row r="49" ht="15" spans="1:7">
      <c r="A49" s="24">
        <v>48</v>
      </c>
      <c r="B49" s="24">
        <v>1</v>
      </c>
      <c r="C49" s="24">
        <v>4</v>
      </c>
      <c r="D49" s="24">
        <v>1234.64829059829</v>
      </c>
      <c r="E49" s="24">
        <v>601.682051282051</v>
      </c>
      <c r="F49" s="24" t="s">
        <v>96</v>
      </c>
      <c r="G49" s="24" t="s">
        <v>96</v>
      </c>
    </row>
    <row r="50" ht="15" spans="1:7">
      <c r="A50" s="24">
        <v>49</v>
      </c>
      <c r="B50" s="24">
        <v>1</v>
      </c>
      <c r="C50" s="24">
        <v>1</v>
      </c>
      <c r="D50" s="24">
        <v>1267.63888888889</v>
      </c>
      <c r="E50" s="24">
        <v>589.68547008547</v>
      </c>
      <c r="F50" s="24" t="s">
        <v>96</v>
      </c>
      <c r="G50" s="24" t="s">
        <v>97</v>
      </c>
    </row>
    <row r="51" ht="15" spans="1:7">
      <c r="A51" s="24">
        <v>50</v>
      </c>
      <c r="B51" s="24">
        <v>1</v>
      </c>
      <c r="C51" s="24">
        <v>4</v>
      </c>
      <c r="D51" s="24">
        <v>1372.60897435897</v>
      </c>
      <c r="E51" s="24">
        <v>418.734188034188</v>
      </c>
      <c r="F51" s="24" t="s">
        <v>97</v>
      </c>
      <c r="G51" s="24" t="s">
        <v>98</v>
      </c>
    </row>
    <row r="52" ht="15" spans="1:7">
      <c r="A52" s="24">
        <v>51</v>
      </c>
      <c r="B52" s="24">
        <v>1</v>
      </c>
      <c r="C52" s="24">
        <v>1</v>
      </c>
      <c r="D52" s="24">
        <v>1264.63974358974</v>
      </c>
      <c r="E52" s="24">
        <v>439.728205128205</v>
      </c>
      <c r="F52" s="24" t="s">
        <v>98</v>
      </c>
      <c r="G52" s="24" t="s">
        <v>98</v>
      </c>
    </row>
    <row r="53" ht="15" spans="1:7">
      <c r="A53" s="24">
        <v>52</v>
      </c>
      <c r="B53" s="24">
        <v>1</v>
      </c>
      <c r="C53" s="24">
        <v>1</v>
      </c>
      <c r="D53" s="24">
        <v>1303.62863247863</v>
      </c>
      <c r="E53" s="24">
        <v>385.743589743589</v>
      </c>
      <c r="F53" s="24" t="s">
        <v>98</v>
      </c>
      <c r="G53" s="24" t="s">
        <v>99</v>
      </c>
    </row>
    <row r="54" ht="15" spans="1:7">
      <c r="A54" s="24">
        <v>53</v>
      </c>
      <c r="B54" s="24">
        <v>1</v>
      </c>
      <c r="C54" s="24">
        <v>1</v>
      </c>
      <c r="D54" s="24">
        <v>1240.64658119658</v>
      </c>
      <c r="E54" s="24">
        <v>316.763247863248</v>
      </c>
      <c r="F54" s="24" t="s">
        <v>99</v>
      </c>
      <c r="G54" s="24" t="s">
        <v>99</v>
      </c>
    </row>
    <row r="55" ht="15" spans="1:7">
      <c r="A55" s="24">
        <v>54</v>
      </c>
      <c r="B55" s="24">
        <v>1</v>
      </c>
      <c r="C55" s="24">
        <v>1</v>
      </c>
      <c r="D55" s="24">
        <v>1297.63034188034</v>
      </c>
      <c r="E55" s="24">
        <v>283.772649572649</v>
      </c>
      <c r="F55" s="24" t="s">
        <v>99</v>
      </c>
      <c r="G55" s="24" t="s">
        <v>100</v>
      </c>
    </row>
    <row r="56" ht="15" spans="1:7">
      <c r="A56" s="24">
        <v>55</v>
      </c>
      <c r="B56" s="24">
        <v>1</v>
      </c>
      <c r="C56" s="24">
        <v>1</v>
      </c>
      <c r="D56" s="24">
        <v>1399.60128205128</v>
      </c>
      <c r="E56" s="24">
        <v>361.750427350427</v>
      </c>
      <c r="F56" s="24" t="s">
        <v>100</v>
      </c>
      <c r="G56" s="24" t="s">
        <v>100</v>
      </c>
    </row>
    <row r="57" ht="15" spans="1:7">
      <c r="A57" s="24">
        <v>56</v>
      </c>
      <c r="B57" s="24">
        <v>1</v>
      </c>
      <c r="C57" s="24">
        <v>1</v>
      </c>
      <c r="D57" s="24">
        <v>1462.58333333333</v>
      </c>
      <c r="E57" s="24">
        <v>358.751282051282</v>
      </c>
      <c r="F57" s="24" t="s">
        <v>100</v>
      </c>
      <c r="G57" s="24" t="s">
        <v>101</v>
      </c>
    </row>
    <row r="58" ht="15" spans="1:7">
      <c r="A58" s="24">
        <v>57</v>
      </c>
      <c r="B58" s="24">
        <v>1</v>
      </c>
      <c r="C58" s="24">
        <v>1</v>
      </c>
      <c r="D58" s="24">
        <v>1489.57564102564</v>
      </c>
      <c r="E58" s="24">
        <v>274.775213675213</v>
      </c>
      <c r="F58" s="24" t="s">
        <v>101</v>
      </c>
      <c r="G58" s="24" t="s">
        <v>101</v>
      </c>
    </row>
    <row r="59" ht="15" spans="1:7">
      <c r="A59" s="24">
        <v>58</v>
      </c>
      <c r="B59" s="24">
        <v>1</v>
      </c>
      <c r="C59" s="24">
        <v>1</v>
      </c>
      <c r="D59" s="24">
        <v>1546.5594017094</v>
      </c>
      <c r="E59" s="24">
        <v>334.75811965812</v>
      </c>
      <c r="F59" s="24" t="s">
        <v>101</v>
      </c>
      <c r="G59" s="24" t="s">
        <v>102</v>
      </c>
    </row>
    <row r="60" ht="15" spans="1:7">
      <c r="A60" s="24">
        <v>59</v>
      </c>
      <c r="B60" s="24">
        <v>1</v>
      </c>
      <c r="C60" s="24">
        <v>3</v>
      </c>
      <c r="D60" s="24">
        <v>1753.50042735043</v>
      </c>
      <c r="E60" s="24">
        <v>388.742735042735</v>
      </c>
      <c r="F60" s="24" t="s">
        <v>102</v>
      </c>
      <c r="G60" s="24" t="s">
        <v>103</v>
      </c>
    </row>
    <row r="61" ht="15" spans="1:7">
      <c r="A61" s="24">
        <v>60</v>
      </c>
      <c r="B61" s="24">
        <v>1</v>
      </c>
      <c r="C61" s="24">
        <v>4</v>
      </c>
      <c r="D61" s="24">
        <v>1786.49102564103</v>
      </c>
      <c r="E61" s="24">
        <v>388.742735042735</v>
      </c>
      <c r="F61" s="24" t="s">
        <v>103</v>
      </c>
      <c r="G61" s="24" t="s">
        <v>104</v>
      </c>
    </row>
    <row r="62" ht="15" spans="1:7">
      <c r="A62" s="24">
        <v>61</v>
      </c>
      <c r="B62" s="24">
        <v>1</v>
      </c>
      <c r="C62" s="24">
        <v>1</v>
      </c>
      <c r="D62" s="24">
        <v>2038.41923076923</v>
      </c>
      <c r="E62" s="24">
        <v>289.77094017094</v>
      </c>
      <c r="F62" s="24" t="s">
        <v>104</v>
      </c>
      <c r="G62" s="24" t="s">
        <v>104</v>
      </c>
    </row>
    <row r="63" ht="15" spans="1:7">
      <c r="A63" s="24">
        <v>62</v>
      </c>
      <c r="B63" s="24">
        <v>1</v>
      </c>
      <c r="C63" s="24">
        <v>1</v>
      </c>
      <c r="D63" s="24">
        <v>1987.43376068376</v>
      </c>
      <c r="E63" s="24">
        <v>289.77094017094</v>
      </c>
      <c r="F63" s="24" t="s">
        <v>104</v>
      </c>
      <c r="G63" s="24" t="s">
        <v>105</v>
      </c>
    </row>
    <row r="64" ht="15" spans="1:7">
      <c r="A64" s="24">
        <v>63</v>
      </c>
      <c r="B64" s="24">
        <v>1</v>
      </c>
      <c r="C64" s="24">
        <v>1</v>
      </c>
      <c r="D64" s="24">
        <v>2290.34743589744</v>
      </c>
      <c r="E64" s="24">
        <v>436.72905982906</v>
      </c>
      <c r="F64" s="24" t="s">
        <v>105</v>
      </c>
      <c r="G64" s="24" t="s">
        <v>106</v>
      </c>
    </row>
    <row r="65" ht="15" spans="1:7">
      <c r="A65" s="24">
        <v>64</v>
      </c>
      <c r="B65" s="24">
        <v>1</v>
      </c>
      <c r="C65" s="24">
        <v>1</v>
      </c>
      <c r="D65" s="24">
        <v>2200.37307692308</v>
      </c>
      <c r="E65" s="24">
        <v>583.687179487179</v>
      </c>
      <c r="F65" s="24" t="s">
        <v>106</v>
      </c>
      <c r="G65" s="24" t="s">
        <v>107</v>
      </c>
    </row>
    <row r="66" ht="15" spans="1:7">
      <c r="A66" s="24">
        <v>65</v>
      </c>
      <c r="B66" s="24">
        <v>1</v>
      </c>
      <c r="C66" s="24">
        <v>3</v>
      </c>
      <c r="D66" s="24">
        <v>1888.46196581197</v>
      </c>
      <c r="E66" s="24">
        <v>1393.45641025641</v>
      </c>
      <c r="F66" s="24" t="s">
        <v>107</v>
      </c>
      <c r="G66" s="24">
        <v>10.36</v>
      </c>
    </row>
    <row r="67" ht="15" spans="1:7">
      <c r="A67" s="24">
        <v>66</v>
      </c>
      <c r="B67" s="24">
        <v>2</v>
      </c>
      <c r="C67" s="24">
        <v>1</v>
      </c>
      <c r="D67" s="24">
        <v>1789.49017094017</v>
      </c>
      <c r="E67" s="24">
        <v>2248.21282051282</v>
      </c>
      <c r="F67" s="24" t="s">
        <v>71</v>
      </c>
      <c r="G67" s="24" t="s">
        <v>74</v>
      </c>
    </row>
    <row r="68" ht="15" spans="1:7">
      <c r="A68" s="24">
        <v>67</v>
      </c>
      <c r="B68" s="24">
        <v>2</v>
      </c>
      <c r="C68" s="24">
        <v>2</v>
      </c>
      <c r="D68" s="24">
        <v>1774.49444444444</v>
      </c>
      <c r="E68" s="24">
        <v>2230.21794871795</v>
      </c>
      <c r="F68" s="24" t="s">
        <v>74</v>
      </c>
      <c r="G68" s="24" t="s">
        <v>75</v>
      </c>
    </row>
    <row r="69" ht="15" spans="1:7">
      <c r="A69" s="24">
        <v>68</v>
      </c>
      <c r="B69" s="24">
        <v>2</v>
      </c>
      <c r="C69" s="24">
        <v>1</v>
      </c>
      <c r="D69" s="24">
        <v>1654.52863247863</v>
      </c>
      <c r="E69" s="24">
        <v>1852.32564102564</v>
      </c>
      <c r="F69" s="24" t="s">
        <v>75</v>
      </c>
      <c r="G69" s="24" t="s">
        <v>75</v>
      </c>
    </row>
    <row r="70" ht="15" spans="1:7">
      <c r="A70" s="24">
        <v>69</v>
      </c>
      <c r="B70" s="24">
        <v>2</v>
      </c>
      <c r="C70" s="24">
        <v>1</v>
      </c>
      <c r="D70" s="24">
        <v>1702.51495726496</v>
      </c>
      <c r="E70" s="24">
        <v>1303.48205128205</v>
      </c>
      <c r="F70" s="24" t="s">
        <v>75</v>
      </c>
      <c r="G70" s="24" t="s">
        <v>76</v>
      </c>
    </row>
    <row r="71" ht="15" spans="1:7">
      <c r="A71" s="24">
        <v>70</v>
      </c>
      <c r="B71" s="24">
        <v>2</v>
      </c>
      <c r="C71" s="24">
        <v>1</v>
      </c>
      <c r="D71" s="24">
        <v>1393.60299145299</v>
      </c>
      <c r="E71" s="24">
        <v>1252.49658119658</v>
      </c>
      <c r="F71" s="24" t="s">
        <v>76</v>
      </c>
      <c r="G71" s="24" t="s">
        <v>76</v>
      </c>
    </row>
    <row r="72" ht="15" spans="1:7">
      <c r="A72" s="24">
        <v>71</v>
      </c>
      <c r="B72" s="24">
        <v>2</v>
      </c>
      <c r="C72" s="24">
        <v>1</v>
      </c>
      <c r="D72" s="24">
        <v>1375.60811965812</v>
      </c>
      <c r="E72" s="24">
        <v>1213.50769230769</v>
      </c>
      <c r="F72" s="24" t="s">
        <v>76</v>
      </c>
      <c r="G72" s="24" t="s">
        <v>78</v>
      </c>
    </row>
    <row r="73" ht="15" spans="1:7">
      <c r="A73" s="24">
        <v>72</v>
      </c>
      <c r="B73" s="24">
        <v>2</v>
      </c>
      <c r="C73" s="24">
        <v>2</v>
      </c>
      <c r="D73" s="24">
        <v>1231.64914529915</v>
      </c>
      <c r="E73" s="24">
        <v>1288.48632478632</v>
      </c>
      <c r="F73" s="24" t="s">
        <v>78</v>
      </c>
      <c r="G73" s="24" t="s">
        <v>78</v>
      </c>
    </row>
    <row r="74" ht="15" spans="1:7">
      <c r="A74" s="24">
        <v>73</v>
      </c>
      <c r="B74" s="24">
        <v>2</v>
      </c>
      <c r="C74" s="24">
        <v>1</v>
      </c>
      <c r="D74" s="24">
        <v>1192.66025641026</v>
      </c>
      <c r="E74" s="24">
        <v>1171.51965811966</v>
      </c>
      <c r="F74" s="24" t="s">
        <v>78</v>
      </c>
      <c r="G74" s="24" t="s">
        <v>80</v>
      </c>
    </row>
    <row r="75" ht="15" spans="1:7">
      <c r="A75" s="24">
        <v>74</v>
      </c>
      <c r="B75" s="24">
        <v>2</v>
      </c>
      <c r="C75" s="24">
        <v>1</v>
      </c>
      <c r="D75" s="24">
        <v>1399.60128205128</v>
      </c>
      <c r="E75" s="24">
        <v>850.611111111111</v>
      </c>
      <c r="F75" s="24" t="s">
        <v>80</v>
      </c>
      <c r="G75" s="24" t="s">
        <v>81</v>
      </c>
    </row>
    <row r="76" ht="15" spans="1:7">
      <c r="A76" s="24">
        <v>75</v>
      </c>
      <c r="B76" s="24">
        <v>2</v>
      </c>
      <c r="C76" s="24">
        <v>1</v>
      </c>
      <c r="D76" s="24">
        <v>1168.66709401709</v>
      </c>
      <c r="E76" s="24">
        <v>697.654700854701</v>
      </c>
      <c r="F76" s="24" t="s">
        <v>81</v>
      </c>
      <c r="G76" s="24" t="s">
        <v>83</v>
      </c>
    </row>
    <row r="77" ht="15" spans="1:7">
      <c r="A77" s="24">
        <v>76</v>
      </c>
      <c r="B77" s="24">
        <v>2</v>
      </c>
      <c r="C77" s="24">
        <v>1</v>
      </c>
      <c r="D77" s="24">
        <v>1753.50042735043</v>
      </c>
      <c r="E77" s="24">
        <v>310.764957264957</v>
      </c>
      <c r="F77" s="24" t="s">
        <v>83</v>
      </c>
      <c r="G77" s="24" t="s">
        <v>84</v>
      </c>
    </row>
    <row r="78" ht="15" spans="1:7">
      <c r="A78" s="24">
        <v>77</v>
      </c>
      <c r="B78" s="24">
        <v>2</v>
      </c>
      <c r="C78" s="24">
        <v>1</v>
      </c>
      <c r="D78" s="24">
        <v>2140.39017094017</v>
      </c>
      <c r="E78" s="24">
        <v>508.708547008547</v>
      </c>
      <c r="F78" s="24" t="s">
        <v>84</v>
      </c>
      <c r="G78" s="24" t="s">
        <v>84</v>
      </c>
    </row>
    <row r="79" ht="15" spans="1:7">
      <c r="A79" s="24">
        <v>78</v>
      </c>
      <c r="B79" s="24">
        <v>2</v>
      </c>
      <c r="C79" s="24">
        <v>1</v>
      </c>
      <c r="D79" s="24">
        <v>2242.36111111111</v>
      </c>
      <c r="E79" s="24">
        <v>565.692307692308</v>
      </c>
      <c r="F79" s="24" t="s">
        <v>84</v>
      </c>
      <c r="G79" s="24" t="s">
        <v>85</v>
      </c>
    </row>
    <row r="80" ht="15" spans="1:7">
      <c r="A80" s="24">
        <v>79</v>
      </c>
      <c r="B80" s="24">
        <v>2</v>
      </c>
      <c r="C80" s="24">
        <v>1</v>
      </c>
      <c r="D80" s="24">
        <v>2122.3952991453</v>
      </c>
      <c r="E80" s="24">
        <v>739.642735042735</v>
      </c>
      <c r="F80" s="24" t="s">
        <v>85</v>
      </c>
      <c r="G80" s="24" t="s">
        <v>85</v>
      </c>
    </row>
    <row r="81" ht="15" spans="1:7">
      <c r="A81" s="24">
        <v>80</v>
      </c>
      <c r="B81" s="24">
        <v>2</v>
      </c>
      <c r="C81" s="24">
        <v>1</v>
      </c>
      <c r="D81" s="24">
        <v>2131.39273504274</v>
      </c>
      <c r="E81" s="24">
        <v>865.606837606838</v>
      </c>
      <c r="F81" s="24" t="s">
        <v>85</v>
      </c>
      <c r="G81" s="24" t="s">
        <v>86</v>
      </c>
    </row>
    <row r="82" ht="15" spans="1:7">
      <c r="A82" s="24">
        <v>81</v>
      </c>
      <c r="B82" s="24">
        <v>2</v>
      </c>
      <c r="C82" s="24">
        <v>1</v>
      </c>
      <c r="D82" s="24">
        <v>2155.3858974359</v>
      </c>
      <c r="E82" s="24">
        <v>961.579487179487</v>
      </c>
      <c r="F82" s="24" t="s">
        <v>86</v>
      </c>
      <c r="G82" s="24">
        <v>9.55</v>
      </c>
    </row>
    <row r="83" ht="15" spans="1:7">
      <c r="A83" s="24">
        <v>82</v>
      </c>
      <c r="B83" s="24">
        <v>2</v>
      </c>
      <c r="C83" s="24">
        <v>1</v>
      </c>
      <c r="D83" s="24">
        <v>1381.60641025641</v>
      </c>
      <c r="E83" s="24">
        <v>1069.54871794872</v>
      </c>
      <c r="F83" s="24" t="s">
        <v>89</v>
      </c>
      <c r="G83" s="24" t="s">
        <v>89</v>
      </c>
    </row>
    <row r="84" ht="15" spans="1:7">
      <c r="A84" s="24">
        <v>83</v>
      </c>
      <c r="B84" s="24">
        <v>2</v>
      </c>
      <c r="C84" s="24">
        <v>1</v>
      </c>
      <c r="D84" s="24">
        <v>1267.63888888889</v>
      </c>
      <c r="E84" s="24">
        <v>1054.55299145299</v>
      </c>
      <c r="F84" s="24" t="s">
        <v>89</v>
      </c>
      <c r="G84" s="24" t="s">
        <v>90</v>
      </c>
    </row>
    <row r="85" ht="15" spans="1:7">
      <c r="A85" s="24">
        <v>84</v>
      </c>
      <c r="B85" s="24">
        <v>2</v>
      </c>
      <c r="C85" s="24">
        <v>1</v>
      </c>
      <c r="D85" s="24">
        <v>1393.60299145299</v>
      </c>
      <c r="E85" s="24">
        <v>895.598290598291</v>
      </c>
      <c r="F85" s="24" t="s">
        <v>90</v>
      </c>
      <c r="G85" s="24" t="s">
        <v>91</v>
      </c>
    </row>
    <row r="86" ht="15" spans="1:7">
      <c r="A86" s="24">
        <v>85</v>
      </c>
      <c r="B86" s="24">
        <v>2</v>
      </c>
      <c r="C86" s="24">
        <v>1</v>
      </c>
      <c r="D86" s="24">
        <v>1393.60299145299</v>
      </c>
      <c r="E86" s="24">
        <v>625.675213675214</v>
      </c>
      <c r="F86" s="24" t="s">
        <v>91</v>
      </c>
      <c r="G86" s="24" t="s">
        <v>91</v>
      </c>
    </row>
    <row r="87" ht="15" spans="1:7">
      <c r="A87" s="24">
        <v>86</v>
      </c>
      <c r="B87" s="24">
        <v>2</v>
      </c>
      <c r="C87" s="24">
        <v>1</v>
      </c>
      <c r="D87" s="24">
        <v>1333.62008547009</v>
      </c>
      <c r="E87" s="24">
        <v>637.671794871795</v>
      </c>
      <c r="F87" s="24" t="s">
        <v>91</v>
      </c>
      <c r="G87" s="24" t="s">
        <v>92</v>
      </c>
    </row>
    <row r="88" ht="15" spans="1:7">
      <c r="A88" s="24">
        <v>87</v>
      </c>
      <c r="B88" s="24">
        <v>2</v>
      </c>
      <c r="C88" s="24">
        <v>1</v>
      </c>
      <c r="D88" s="24">
        <v>1243.64572649573</v>
      </c>
      <c r="E88" s="24">
        <v>634.672649572649</v>
      </c>
      <c r="F88" s="24" t="s">
        <v>92</v>
      </c>
      <c r="G88" s="24" t="s">
        <v>92</v>
      </c>
    </row>
    <row r="89" ht="15" spans="1:7">
      <c r="A89" s="24">
        <v>88</v>
      </c>
      <c r="B89" s="24">
        <v>2</v>
      </c>
      <c r="C89" s="24">
        <v>1</v>
      </c>
      <c r="D89" s="24">
        <v>1339.61837606838</v>
      </c>
      <c r="E89" s="24">
        <v>421.733333333333</v>
      </c>
      <c r="F89" s="24" t="s">
        <v>92</v>
      </c>
      <c r="G89" s="24" t="s">
        <v>94</v>
      </c>
    </row>
    <row r="90" ht="15" spans="1:7">
      <c r="A90" s="24">
        <v>89</v>
      </c>
      <c r="B90" s="24">
        <v>2</v>
      </c>
      <c r="C90" s="24">
        <v>1</v>
      </c>
      <c r="D90" s="24">
        <v>1240.64658119658</v>
      </c>
      <c r="E90" s="24">
        <v>430.730769230769</v>
      </c>
      <c r="F90" s="24" t="s">
        <v>94</v>
      </c>
      <c r="G90" s="24" t="s">
        <v>94</v>
      </c>
    </row>
    <row r="91" ht="15" spans="1:7">
      <c r="A91" s="24">
        <v>90</v>
      </c>
      <c r="B91" s="24">
        <v>2</v>
      </c>
      <c r="C91" s="24">
        <v>1</v>
      </c>
      <c r="D91" s="24">
        <v>1516.56794871795</v>
      </c>
      <c r="E91" s="24">
        <v>283.772649572649</v>
      </c>
      <c r="F91" s="24" t="s">
        <v>94</v>
      </c>
      <c r="G91" s="24" t="s">
        <v>95</v>
      </c>
    </row>
    <row r="92" ht="15" spans="1:7">
      <c r="A92" s="24">
        <v>91</v>
      </c>
      <c r="B92" s="24">
        <v>2</v>
      </c>
      <c r="C92" s="24">
        <v>1</v>
      </c>
      <c r="D92" s="24">
        <v>1651.52948717949</v>
      </c>
      <c r="E92" s="24">
        <v>307.765811965812</v>
      </c>
      <c r="F92" s="24" t="s">
        <v>95</v>
      </c>
      <c r="G92" s="24" t="s">
        <v>95</v>
      </c>
    </row>
    <row r="93" ht="15" spans="1:7">
      <c r="A93" s="24">
        <v>92</v>
      </c>
      <c r="B93" s="24">
        <v>2</v>
      </c>
      <c r="C93" s="24">
        <v>1</v>
      </c>
      <c r="D93" s="24">
        <v>2008.42777777778</v>
      </c>
      <c r="E93" s="24">
        <v>283.772649572649</v>
      </c>
      <c r="F93" s="24" t="s">
        <v>95</v>
      </c>
      <c r="G93" s="24" t="s">
        <v>96</v>
      </c>
    </row>
    <row r="94" ht="15" spans="1:7">
      <c r="A94" s="24">
        <v>93</v>
      </c>
      <c r="B94" s="24">
        <v>2</v>
      </c>
      <c r="C94" s="24">
        <v>1</v>
      </c>
      <c r="D94" s="24">
        <v>2161.38418803419</v>
      </c>
      <c r="E94" s="24">
        <v>394.741025641025</v>
      </c>
      <c r="F94" s="24" t="s">
        <v>96</v>
      </c>
      <c r="G94" s="24" t="s">
        <v>96</v>
      </c>
    </row>
    <row r="95" ht="15" spans="1:7">
      <c r="A95" s="24">
        <v>94</v>
      </c>
      <c r="B95" s="24">
        <v>2</v>
      </c>
      <c r="C95" s="24">
        <v>1</v>
      </c>
      <c r="D95" s="24">
        <v>2158.38504273504</v>
      </c>
      <c r="E95" s="24">
        <v>469.719658119658</v>
      </c>
      <c r="F95" s="24" t="s">
        <v>96</v>
      </c>
      <c r="G95" s="24" t="s">
        <v>97</v>
      </c>
    </row>
    <row r="96" ht="15" spans="1:7">
      <c r="A96" s="24">
        <v>95</v>
      </c>
      <c r="B96" s="24">
        <v>2</v>
      </c>
      <c r="C96" s="24">
        <v>1</v>
      </c>
      <c r="D96" s="24">
        <v>2116.39700854701</v>
      </c>
      <c r="E96" s="24">
        <v>661.664957264957</v>
      </c>
      <c r="F96" s="24" t="s">
        <v>97</v>
      </c>
      <c r="G96" s="24" t="s">
        <v>97</v>
      </c>
    </row>
    <row r="97" ht="15" spans="1:7">
      <c r="A97" s="24">
        <v>96</v>
      </c>
      <c r="B97" s="24">
        <v>2</v>
      </c>
      <c r="C97" s="24">
        <v>1</v>
      </c>
      <c r="D97" s="24">
        <v>2113.39786324786</v>
      </c>
      <c r="E97" s="24">
        <v>976.575213675214</v>
      </c>
      <c r="F97" s="24" t="s">
        <v>97</v>
      </c>
      <c r="G97" s="24" t="s">
        <v>98</v>
      </c>
    </row>
    <row r="98" ht="15" spans="1:7">
      <c r="A98" s="24">
        <v>97</v>
      </c>
      <c r="B98" s="24">
        <v>2</v>
      </c>
      <c r="C98" s="24">
        <v>1</v>
      </c>
      <c r="D98" s="24">
        <v>2287.34829059829</v>
      </c>
      <c r="E98" s="24">
        <v>1171.51965811966</v>
      </c>
      <c r="F98" s="24" t="s">
        <v>98</v>
      </c>
      <c r="G98" s="24" t="s">
        <v>98</v>
      </c>
    </row>
    <row r="99" ht="15" spans="1:7">
      <c r="A99" s="24">
        <v>98</v>
      </c>
      <c r="B99" s="24">
        <v>2</v>
      </c>
      <c r="C99" s="24">
        <v>1</v>
      </c>
      <c r="D99" s="24">
        <v>2185.37735042735</v>
      </c>
      <c r="E99" s="24">
        <v>1006.56666666667</v>
      </c>
      <c r="F99" s="24" t="s">
        <v>98</v>
      </c>
      <c r="G99" s="24" t="s">
        <v>100</v>
      </c>
    </row>
    <row r="100" ht="15" spans="1:7">
      <c r="A100" s="24">
        <v>99</v>
      </c>
      <c r="B100" s="24">
        <v>2</v>
      </c>
      <c r="C100" s="24">
        <v>1</v>
      </c>
      <c r="D100" s="24">
        <v>2086.40555555556</v>
      </c>
      <c r="E100" s="24">
        <v>1306.4811965812</v>
      </c>
      <c r="F100" s="24" t="s">
        <v>100</v>
      </c>
      <c r="G100" s="24" t="s">
        <v>100</v>
      </c>
    </row>
    <row r="101" ht="15" spans="1:7">
      <c r="A101" s="24">
        <v>100</v>
      </c>
      <c r="B101" s="24">
        <v>2</v>
      </c>
      <c r="C101" s="24">
        <v>4</v>
      </c>
      <c r="D101" s="24">
        <v>1960</v>
      </c>
      <c r="E101" s="24">
        <v>1307</v>
      </c>
      <c r="F101" s="24" t="s">
        <v>100</v>
      </c>
      <c r="G101" s="24" t="s">
        <v>102</v>
      </c>
    </row>
    <row r="102" ht="15" spans="1:7">
      <c r="A102" s="24">
        <v>101</v>
      </c>
      <c r="B102" s="24">
        <v>2</v>
      </c>
      <c r="C102" s="24">
        <v>1</v>
      </c>
      <c r="D102" s="24">
        <v>1744.50299145299</v>
      </c>
      <c r="E102" s="24">
        <v>1135.52991452991</v>
      </c>
      <c r="F102" s="24" t="s">
        <v>102</v>
      </c>
      <c r="G102" s="24" t="s">
        <v>102</v>
      </c>
    </row>
    <row r="103" ht="15" spans="1:7">
      <c r="A103" s="24">
        <v>102</v>
      </c>
      <c r="B103" s="24">
        <v>2</v>
      </c>
      <c r="C103" s="24">
        <v>1</v>
      </c>
      <c r="D103" s="24">
        <v>1789.49017094017</v>
      </c>
      <c r="E103" s="24">
        <v>1123.53333333333</v>
      </c>
      <c r="F103" s="24" t="s">
        <v>102</v>
      </c>
      <c r="G103" s="24" t="s">
        <v>104</v>
      </c>
    </row>
    <row r="104" ht="15" spans="1:7">
      <c r="A104" s="24">
        <v>103</v>
      </c>
      <c r="B104" s="24">
        <v>2</v>
      </c>
      <c r="C104" s="24">
        <v>1</v>
      </c>
      <c r="D104" s="24">
        <v>1819.48162393162</v>
      </c>
      <c r="E104" s="24">
        <v>352.752991452991</v>
      </c>
      <c r="F104" s="24" t="s">
        <v>104</v>
      </c>
      <c r="G104" s="24" t="s">
        <v>106</v>
      </c>
    </row>
    <row r="105" ht="15" spans="1:7">
      <c r="A105" s="24">
        <v>104</v>
      </c>
      <c r="B105" s="24">
        <v>2</v>
      </c>
      <c r="C105" s="24">
        <v>1</v>
      </c>
      <c r="D105" s="24">
        <v>1366.61068376068</v>
      </c>
      <c r="E105" s="24">
        <v>622.676068376068</v>
      </c>
      <c r="F105" s="24" t="s">
        <v>106</v>
      </c>
      <c r="G105" s="24" t="s">
        <v>108</v>
      </c>
    </row>
    <row r="106" ht="15" spans="1:7">
      <c r="A106" s="24">
        <v>105</v>
      </c>
      <c r="B106" s="24">
        <v>2</v>
      </c>
      <c r="C106" s="24">
        <v>1</v>
      </c>
      <c r="D106" s="24">
        <v>1342.61752136752</v>
      </c>
      <c r="E106" s="24">
        <v>748.640170940171</v>
      </c>
      <c r="F106" s="24" t="s">
        <v>108</v>
      </c>
      <c r="G106" s="24" t="s">
        <v>108</v>
      </c>
    </row>
    <row r="107" ht="15" spans="1:7">
      <c r="A107" s="24">
        <v>106</v>
      </c>
      <c r="B107" s="24">
        <v>2</v>
      </c>
      <c r="C107" s="24">
        <v>1</v>
      </c>
      <c r="D107" s="24">
        <v>1366.61068376068</v>
      </c>
      <c r="E107" s="24">
        <v>781.630769230769</v>
      </c>
      <c r="F107" s="24" t="s">
        <v>108</v>
      </c>
      <c r="G107" s="24" t="s">
        <v>108</v>
      </c>
    </row>
    <row r="108" ht="15" spans="1:7">
      <c r="A108" s="24">
        <v>107</v>
      </c>
      <c r="B108" s="24">
        <v>2</v>
      </c>
      <c r="C108" s="24">
        <v>1</v>
      </c>
      <c r="D108" s="24">
        <v>1393.60299145299</v>
      </c>
      <c r="E108" s="24">
        <v>973.576068376068</v>
      </c>
      <c r="F108" s="24" t="s">
        <v>108</v>
      </c>
      <c r="G108" s="24" t="s">
        <v>109</v>
      </c>
    </row>
    <row r="109" ht="15" spans="1:7">
      <c r="A109" s="24">
        <v>108</v>
      </c>
      <c r="B109" s="24">
        <v>2</v>
      </c>
      <c r="C109" s="24">
        <v>1</v>
      </c>
      <c r="D109" s="24">
        <v>1366.61068376068</v>
      </c>
      <c r="E109" s="24">
        <v>1021.56239316239</v>
      </c>
      <c r="F109" s="24" t="s">
        <v>109</v>
      </c>
      <c r="G109" s="24" t="s">
        <v>110</v>
      </c>
    </row>
    <row r="110" ht="15" spans="1:7">
      <c r="A110" s="24">
        <v>109</v>
      </c>
      <c r="B110" s="24">
        <v>2</v>
      </c>
      <c r="C110" s="24">
        <v>1</v>
      </c>
      <c r="D110" s="24">
        <v>1399.60128205128</v>
      </c>
      <c r="E110" s="24">
        <v>1066.54957264957</v>
      </c>
      <c r="F110" s="24" t="s">
        <v>110</v>
      </c>
      <c r="G110" s="24" t="s">
        <v>110</v>
      </c>
    </row>
    <row r="111" ht="15" spans="1:7">
      <c r="A111" s="24">
        <v>110</v>
      </c>
      <c r="B111" s="24">
        <v>2</v>
      </c>
      <c r="C111" s="24">
        <v>1</v>
      </c>
      <c r="D111" s="24">
        <v>2341.33290598291</v>
      </c>
      <c r="E111" s="24">
        <v>1273.4905982906</v>
      </c>
      <c r="F111" s="24" t="s">
        <v>110</v>
      </c>
      <c r="G111" s="24" t="s">
        <v>111</v>
      </c>
    </row>
    <row r="112" ht="15" spans="1:7">
      <c r="A112" s="24">
        <v>111</v>
      </c>
      <c r="B112" s="24">
        <v>2</v>
      </c>
      <c r="C112" s="24">
        <v>1</v>
      </c>
      <c r="D112" s="24">
        <v>2332.33547008547</v>
      </c>
      <c r="E112" s="24">
        <v>1099.54017094017</v>
      </c>
      <c r="F112" s="24" t="s">
        <v>111</v>
      </c>
      <c r="G112" s="24" t="s">
        <v>111</v>
      </c>
    </row>
    <row r="113" ht="15" spans="1:7">
      <c r="A113" s="24">
        <v>112</v>
      </c>
      <c r="B113" s="24">
        <v>2</v>
      </c>
      <c r="C113" s="24">
        <v>1</v>
      </c>
      <c r="D113" s="24">
        <v>2176.37991452992</v>
      </c>
      <c r="E113" s="24">
        <v>526.703418803419</v>
      </c>
      <c r="F113" s="24" t="s">
        <v>111</v>
      </c>
      <c r="G113" s="24" t="s">
        <v>112</v>
      </c>
    </row>
    <row r="114" ht="15" spans="1:7">
      <c r="A114" s="24">
        <v>113</v>
      </c>
      <c r="B114" s="24">
        <v>2</v>
      </c>
      <c r="C114" s="24">
        <v>1</v>
      </c>
      <c r="D114" s="24">
        <v>2296.34572649573</v>
      </c>
      <c r="E114" s="24">
        <v>406.737606837607</v>
      </c>
      <c r="F114" s="24" t="s">
        <v>112</v>
      </c>
      <c r="G114" s="24" t="s">
        <v>112</v>
      </c>
    </row>
    <row r="115" ht="15" spans="1:7">
      <c r="A115" s="24">
        <v>114</v>
      </c>
      <c r="B115" s="24">
        <v>2</v>
      </c>
      <c r="C115" s="24">
        <v>1</v>
      </c>
      <c r="D115" s="24">
        <v>2260.35598290598</v>
      </c>
      <c r="E115" s="24">
        <v>277.774358974359</v>
      </c>
      <c r="F115" s="24" t="s">
        <v>112</v>
      </c>
      <c r="G115" s="24" t="s">
        <v>113</v>
      </c>
    </row>
    <row r="116" ht="15" spans="1:7">
      <c r="A116" s="24">
        <v>115</v>
      </c>
      <c r="B116" s="24">
        <v>2</v>
      </c>
      <c r="C116" s="24">
        <v>1</v>
      </c>
      <c r="D116" s="24">
        <v>1744.50299145299</v>
      </c>
      <c r="E116" s="24">
        <v>325.760683760684</v>
      </c>
      <c r="F116" s="24" t="s">
        <v>113</v>
      </c>
      <c r="G116" s="24" t="s">
        <v>114</v>
      </c>
    </row>
    <row r="117" ht="15" spans="1:7">
      <c r="A117" s="24">
        <v>116</v>
      </c>
      <c r="B117" s="24">
        <v>2</v>
      </c>
      <c r="C117" s="24">
        <v>1</v>
      </c>
      <c r="D117" s="24">
        <v>1735.50555555556</v>
      </c>
      <c r="E117" s="24">
        <v>448.725641025641</v>
      </c>
      <c r="F117" s="24" t="s">
        <v>114</v>
      </c>
      <c r="G117" s="24" t="s">
        <v>115</v>
      </c>
    </row>
    <row r="118" ht="15" spans="1:7">
      <c r="A118" s="24">
        <v>117</v>
      </c>
      <c r="B118" s="24">
        <v>2</v>
      </c>
      <c r="C118" s="24">
        <v>4</v>
      </c>
      <c r="D118" s="24">
        <v>1585.54829059829</v>
      </c>
      <c r="E118" s="24">
        <v>1237.50085470085</v>
      </c>
      <c r="F118" s="24" t="s">
        <v>115</v>
      </c>
      <c r="G118" s="24" t="s">
        <v>115</v>
      </c>
    </row>
    <row r="119" ht="15" spans="1:7">
      <c r="A119" s="24">
        <v>118</v>
      </c>
      <c r="B119" s="24">
        <v>2</v>
      </c>
      <c r="C119" s="24">
        <v>1</v>
      </c>
      <c r="D119" s="24">
        <v>1747.50213675214</v>
      </c>
      <c r="E119" s="24">
        <v>1600.39743589744</v>
      </c>
      <c r="F119" s="24" t="s">
        <v>115</v>
      </c>
      <c r="G119" s="24" t="s">
        <v>116</v>
      </c>
    </row>
    <row r="120" ht="15" spans="1:7">
      <c r="A120" s="24">
        <v>119</v>
      </c>
      <c r="B120" s="24">
        <v>2</v>
      </c>
      <c r="C120" s="24">
        <v>1</v>
      </c>
      <c r="D120" s="24">
        <v>1762.49786324786</v>
      </c>
      <c r="E120" s="24">
        <v>1873.31965811966</v>
      </c>
      <c r="F120" s="24" t="s">
        <v>116</v>
      </c>
      <c r="G120" s="24">
        <v>10.31</v>
      </c>
    </row>
    <row r="121" ht="15" spans="1:7">
      <c r="A121" s="24">
        <v>120</v>
      </c>
      <c r="B121" s="24">
        <v>3</v>
      </c>
      <c r="C121" s="24">
        <v>2</v>
      </c>
      <c r="D121" s="24">
        <v>1798.48760683761</v>
      </c>
      <c r="E121" s="24">
        <v>2107.25299145299</v>
      </c>
      <c r="F121" s="24" t="s">
        <v>113</v>
      </c>
      <c r="G121" s="24" t="s">
        <v>114</v>
      </c>
    </row>
    <row r="122" ht="15" spans="1:7">
      <c r="A122" s="24">
        <v>121</v>
      </c>
      <c r="B122" s="24">
        <v>3</v>
      </c>
      <c r="C122" s="24">
        <v>1</v>
      </c>
      <c r="D122" s="24">
        <v>1813.48333333333</v>
      </c>
      <c r="E122" s="24">
        <v>1630.38888888889</v>
      </c>
      <c r="F122" s="24" t="s">
        <v>114</v>
      </c>
      <c r="G122" s="24" t="s">
        <v>114</v>
      </c>
    </row>
    <row r="123" ht="15" spans="1:7">
      <c r="A123" s="24">
        <v>122</v>
      </c>
      <c r="B123" s="24">
        <v>3</v>
      </c>
      <c r="C123" s="24">
        <v>1</v>
      </c>
      <c r="D123" s="24">
        <v>1762.49786324786</v>
      </c>
      <c r="E123" s="24">
        <v>1303.48205128205</v>
      </c>
      <c r="F123" s="24" t="s">
        <v>114</v>
      </c>
      <c r="G123" s="24" t="s">
        <v>115</v>
      </c>
    </row>
    <row r="124" ht="15" spans="1:7">
      <c r="A124" s="24">
        <v>123</v>
      </c>
      <c r="B124" s="24">
        <v>3</v>
      </c>
      <c r="C124" s="24">
        <v>2</v>
      </c>
      <c r="D124" s="24">
        <v>1384.60555555556</v>
      </c>
      <c r="E124" s="24">
        <v>1216.50683760684</v>
      </c>
      <c r="F124" s="24" t="s">
        <v>115</v>
      </c>
      <c r="G124" s="24" t="s">
        <v>115</v>
      </c>
    </row>
    <row r="125" ht="15" spans="1:7">
      <c r="A125" s="24">
        <v>124</v>
      </c>
      <c r="B125" s="24">
        <v>3</v>
      </c>
      <c r="C125" s="24">
        <v>2</v>
      </c>
      <c r="D125" s="24">
        <v>1318.62435897436</v>
      </c>
      <c r="E125" s="24">
        <v>1153.52478632479</v>
      </c>
      <c r="F125" s="24" t="s">
        <v>115</v>
      </c>
      <c r="G125" s="24" t="s">
        <v>116</v>
      </c>
    </row>
    <row r="126" ht="15" spans="1:7">
      <c r="A126" s="24">
        <v>125</v>
      </c>
      <c r="B126" s="24">
        <v>3</v>
      </c>
      <c r="C126" s="24">
        <v>1</v>
      </c>
      <c r="D126" s="24">
        <v>1384.60555555556</v>
      </c>
      <c r="E126" s="24">
        <v>1144.52735042735</v>
      </c>
      <c r="F126" s="24" t="s">
        <v>116</v>
      </c>
      <c r="G126" s="24" t="s">
        <v>117</v>
      </c>
    </row>
    <row r="127" ht="15" spans="1:7">
      <c r="A127" s="24">
        <v>126</v>
      </c>
      <c r="B127" s="24">
        <v>3</v>
      </c>
      <c r="C127" s="24">
        <v>1</v>
      </c>
      <c r="D127" s="24">
        <v>1393.60299145299</v>
      </c>
      <c r="E127" s="24">
        <v>1099.54017094017</v>
      </c>
      <c r="F127" s="24" t="s">
        <v>117</v>
      </c>
      <c r="G127" s="24" t="s">
        <v>117</v>
      </c>
    </row>
    <row r="128" ht="15" spans="1:7">
      <c r="A128" s="24">
        <v>127</v>
      </c>
      <c r="B128" s="24">
        <v>3</v>
      </c>
      <c r="C128" s="24">
        <v>1</v>
      </c>
      <c r="D128" s="24">
        <v>1396.60213675214</v>
      </c>
      <c r="E128" s="24">
        <v>1027.56068376068</v>
      </c>
      <c r="F128" s="24" t="s">
        <v>117</v>
      </c>
      <c r="G128" s="24" t="s">
        <v>117</v>
      </c>
    </row>
    <row r="129" ht="15" spans="1:7">
      <c r="A129" s="24">
        <v>128</v>
      </c>
      <c r="B129" s="24">
        <v>3</v>
      </c>
      <c r="C129" s="24">
        <v>4</v>
      </c>
      <c r="D129" s="24">
        <v>1387.6047008547</v>
      </c>
      <c r="E129" s="24">
        <v>841.613675213675</v>
      </c>
      <c r="F129" s="24" t="s">
        <v>117</v>
      </c>
      <c r="G129" s="24" t="s">
        <v>118</v>
      </c>
    </row>
    <row r="130" ht="15" spans="1:7">
      <c r="A130" s="24">
        <v>129</v>
      </c>
      <c r="B130" s="24">
        <v>3</v>
      </c>
      <c r="C130" s="24">
        <v>1</v>
      </c>
      <c r="D130" s="24">
        <v>1336.61923076923</v>
      </c>
      <c r="E130" s="24">
        <v>769.634188034188</v>
      </c>
      <c r="F130" s="24" t="s">
        <v>118</v>
      </c>
      <c r="G130" s="24" t="s">
        <v>119</v>
      </c>
    </row>
    <row r="131" ht="15" spans="1:7">
      <c r="A131" s="24">
        <v>130</v>
      </c>
      <c r="B131" s="24">
        <v>3</v>
      </c>
      <c r="C131" s="24">
        <v>1</v>
      </c>
      <c r="D131" s="24">
        <v>1330.62094017094</v>
      </c>
      <c r="E131" s="24">
        <v>628.674358974359</v>
      </c>
      <c r="F131" s="24" t="s">
        <v>119</v>
      </c>
      <c r="G131" s="24" t="s">
        <v>119</v>
      </c>
    </row>
    <row r="132" ht="15" spans="1:7">
      <c r="A132" s="24">
        <v>131</v>
      </c>
      <c r="B132" s="24">
        <v>3</v>
      </c>
      <c r="C132" s="24">
        <v>1</v>
      </c>
      <c r="D132" s="24">
        <v>1258.64145299145</v>
      </c>
      <c r="E132" s="24">
        <v>298.768376068376</v>
      </c>
      <c r="F132" s="24" t="s">
        <v>119</v>
      </c>
      <c r="G132" s="24" t="s">
        <v>120</v>
      </c>
    </row>
    <row r="133" ht="15" spans="1:7">
      <c r="A133" s="24">
        <v>132</v>
      </c>
      <c r="B133" s="24">
        <v>3</v>
      </c>
      <c r="C133" s="24">
        <v>2</v>
      </c>
      <c r="D133" s="24">
        <v>2245.36025641026</v>
      </c>
      <c r="E133" s="24">
        <v>319.762393162393</v>
      </c>
      <c r="F133" s="24" t="s">
        <v>120</v>
      </c>
      <c r="G133" s="24" t="s">
        <v>121</v>
      </c>
    </row>
    <row r="134" ht="15" spans="1:7">
      <c r="A134" s="24">
        <v>133</v>
      </c>
      <c r="B134" s="24">
        <v>3</v>
      </c>
      <c r="C134" s="24">
        <v>2</v>
      </c>
      <c r="D134" s="24">
        <v>2263.35512820513</v>
      </c>
      <c r="E134" s="24">
        <v>565.692307692308</v>
      </c>
      <c r="F134" s="24" t="s">
        <v>121</v>
      </c>
      <c r="G134" s="24" t="s">
        <v>122</v>
      </c>
    </row>
    <row r="135" ht="15" spans="1:7">
      <c r="A135" s="24">
        <v>134</v>
      </c>
      <c r="B135" s="24">
        <v>3</v>
      </c>
      <c r="C135" s="24">
        <v>2</v>
      </c>
      <c r="D135" s="24">
        <v>2218.36794871795</v>
      </c>
      <c r="E135" s="24">
        <v>1054.55299145299</v>
      </c>
      <c r="F135" s="24" t="s">
        <v>122</v>
      </c>
      <c r="G135" s="24" t="s">
        <v>122</v>
      </c>
    </row>
    <row r="136" ht="15" spans="1:7">
      <c r="A136" s="24">
        <v>135</v>
      </c>
      <c r="B136" s="24">
        <v>3</v>
      </c>
      <c r="C136" s="24">
        <v>2</v>
      </c>
      <c r="D136" s="24">
        <v>2155.3858974359</v>
      </c>
      <c r="E136" s="24">
        <v>1096.54102564103</v>
      </c>
      <c r="F136" s="24" t="s">
        <v>122</v>
      </c>
      <c r="G136" s="24" t="s">
        <v>123</v>
      </c>
    </row>
    <row r="137" ht="15" spans="1:7">
      <c r="A137" s="24">
        <v>136</v>
      </c>
      <c r="B137" s="24">
        <v>3</v>
      </c>
      <c r="C137" s="24">
        <v>1</v>
      </c>
      <c r="D137" s="24">
        <v>1261.6405982906</v>
      </c>
      <c r="E137" s="24">
        <v>1306.4811965812</v>
      </c>
      <c r="F137" s="24" t="s">
        <v>123</v>
      </c>
      <c r="G137" s="24" t="s">
        <v>123</v>
      </c>
    </row>
    <row r="138" ht="15" spans="1:7">
      <c r="A138" s="24">
        <v>137</v>
      </c>
      <c r="B138" s="24">
        <v>3</v>
      </c>
      <c r="C138" s="24">
        <v>1</v>
      </c>
      <c r="D138" s="24">
        <v>1294.6311965812</v>
      </c>
      <c r="E138" s="24">
        <v>1135.52991452991</v>
      </c>
      <c r="F138" s="24" t="s">
        <v>123</v>
      </c>
      <c r="G138" s="24" t="s">
        <v>123</v>
      </c>
    </row>
    <row r="139" ht="15" spans="1:7">
      <c r="A139" s="24">
        <v>138</v>
      </c>
      <c r="B139" s="24">
        <v>3</v>
      </c>
      <c r="C139" s="24">
        <v>1</v>
      </c>
      <c r="D139" s="24">
        <v>1399.60128205128</v>
      </c>
      <c r="E139" s="24">
        <v>1081.5452991453</v>
      </c>
      <c r="F139" s="24" t="s">
        <v>123</v>
      </c>
      <c r="G139" s="24" t="s">
        <v>124</v>
      </c>
    </row>
    <row r="140" ht="15" spans="1:7">
      <c r="A140" s="24">
        <v>139</v>
      </c>
      <c r="B140" s="24">
        <v>3</v>
      </c>
      <c r="C140" s="24">
        <v>1</v>
      </c>
      <c r="D140" s="24">
        <v>1363.61153846154</v>
      </c>
      <c r="E140" s="24">
        <v>1045.55555555556</v>
      </c>
      <c r="F140" s="24" t="s">
        <v>124</v>
      </c>
      <c r="G140" s="24" t="s">
        <v>124</v>
      </c>
    </row>
    <row r="141" ht="15" spans="1:7">
      <c r="A141" s="24">
        <v>140</v>
      </c>
      <c r="B141" s="24">
        <v>3</v>
      </c>
      <c r="C141" s="24">
        <v>2</v>
      </c>
      <c r="D141" s="24">
        <v>1399.60128205128</v>
      </c>
      <c r="E141" s="24">
        <v>874.604273504274</v>
      </c>
      <c r="F141" s="24" t="s">
        <v>124</v>
      </c>
      <c r="G141" s="24" t="s">
        <v>124</v>
      </c>
    </row>
    <row r="142" ht="15" spans="1:7">
      <c r="A142" s="24">
        <v>141</v>
      </c>
      <c r="B142" s="24">
        <v>3</v>
      </c>
      <c r="C142" s="24">
        <v>1</v>
      </c>
      <c r="D142" s="24">
        <v>1375.60811965812</v>
      </c>
      <c r="E142" s="24">
        <v>634.672649572649</v>
      </c>
      <c r="F142" s="24" t="s">
        <v>124</v>
      </c>
      <c r="G142" s="24" t="s">
        <v>124</v>
      </c>
    </row>
    <row r="143" ht="15" spans="1:7">
      <c r="A143" s="24">
        <v>142</v>
      </c>
      <c r="B143" s="24">
        <v>3</v>
      </c>
      <c r="C143" s="24">
        <v>1</v>
      </c>
      <c r="D143" s="24">
        <v>1237.64743589744</v>
      </c>
      <c r="E143" s="24">
        <v>634.672649572649</v>
      </c>
      <c r="F143" s="24" t="s">
        <v>124</v>
      </c>
      <c r="G143" s="24" t="s">
        <v>125</v>
      </c>
    </row>
    <row r="144" ht="15" spans="1:7">
      <c r="A144" s="24">
        <v>143</v>
      </c>
      <c r="B144" s="24">
        <v>3</v>
      </c>
      <c r="C144" s="24">
        <v>1</v>
      </c>
      <c r="D144" s="24">
        <v>1249.64401709402</v>
      </c>
      <c r="E144" s="24">
        <v>511.707692307692</v>
      </c>
      <c r="F144" s="24" t="s">
        <v>125</v>
      </c>
      <c r="G144" s="24" t="s">
        <v>126</v>
      </c>
    </row>
    <row r="145" ht="15" spans="1:7">
      <c r="A145" s="24">
        <v>144</v>
      </c>
      <c r="B145" s="24">
        <v>3</v>
      </c>
      <c r="C145" s="24">
        <v>1</v>
      </c>
      <c r="D145" s="24">
        <v>1381.60641025641</v>
      </c>
      <c r="E145" s="24">
        <v>466.720512820513</v>
      </c>
      <c r="F145" s="24" t="s">
        <v>126</v>
      </c>
      <c r="G145" s="24" t="s">
        <v>126</v>
      </c>
    </row>
    <row r="146" ht="15" spans="1:7">
      <c r="A146" s="24">
        <v>145</v>
      </c>
      <c r="B146" s="24">
        <v>3</v>
      </c>
      <c r="C146" s="24">
        <v>1</v>
      </c>
      <c r="D146" s="24">
        <v>1264.63974358974</v>
      </c>
      <c r="E146" s="24">
        <v>421.733333333333</v>
      </c>
      <c r="F146" s="24" t="s">
        <v>126</v>
      </c>
      <c r="G146" s="24" t="s">
        <v>126</v>
      </c>
    </row>
    <row r="147" ht="15" spans="1:7">
      <c r="A147" s="24">
        <v>146</v>
      </c>
      <c r="B147" s="24">
        <v>3</v>
      </c>
      <c r="C147" s="24">
        <v>2</v>
      </c>
      <c r="D147" s="24">
        <v>1426.59358974359</v>
      </c>
      <c r="E147" s="24">
        <v>316.763247863248</v>
      </c>
      <c r="F147" s="24" t="s">
        <v>126</v>
      </c>
      <c r="G147" s="24" t="s">
        <v>127</v>
      </c>
    </row>
    <row r="148" ht="15" spans="1:7">
      <c r="A148" s="24">
        <v>147</v>
      </c>
      <c r="B148" s="24">
        <v>3</v>
      </c>
      <c r="C148" s="24">
        <v>1</v>
      </c>
      <c r="D148" s="24">
        <v>1525.56538461538</v>
      </c>
      <c r="E148" s="24">
        <v>286.771794871795</v>
      </c>
      <c r="F148" s="24" t="s">
        <v>127</v>
      </c>
      <c r="G148" s="24" t="s">
        <v>127</v>
      </c>
    </row>
    <row r="149" ht="15" spans="1:7">
      <c r="A149" s="24">
        <v>148</v>
      </c>
      <c r="B149" s="24">
        <v>3</v>
      </c>
      <c r="C149" s="24">
        <v>1</v>
      </c>
      <c r="D149" s="24">
        <v>1630.53547008547</v>
      </c>
      <c r="E149" s="24">
        <v>418.734188034188</v>
      </c>
      <c r="F149" s="24" t="s">
        <v>127</v>
      </c>
      <c r="G149" s="24" t="s">
        <v>128</v>
      </c>
    </row>
    <row r="150" ht="15" spans="1:7">
      <c r="A150" s="24">
        <v>149</v>
      </c>
      <c r="B150" s="24">
        <v>3</v>
      </c>
      <c r="C150" s="24">
        <v>1</v>
      </c>
      <c r="D150" s="24">
        <v>1771.4952991453</v>
      </c>
      <c r="E150" s="24">
        <v>331.758974358974</v>
      </c>
      <c r="F150" s="24" t="s">
        <v>128</v>
      </c>
      <c r="G150" s="24" t="s">
        <v>129</v>
      </c>
    </row>
    <row r="151" ht="15" spans="1:7">
      <c r="A151" s="24">
        <v>150</v>
      </c>
      <c r="B151" s="24">
        <v>3</v>
      </c>
      <c r="C151" s="24">
        <v>1</v>
      </c>
      <c r="D151" s="24">
        <v>2020.42435897436</v>
      </c>
      <c r="E151" s="24">
        <v>295.76923076923</v>
      </c>
      <c r="F151" s="24" t="s">
        <v>129</v>
      </c>
      <c r="G151" s="24" t="s">
        <v>129</v>
      </c>
    </row>
    <row r="152" ht="15" spans="1:7">
      <c r="A152" s="24">
        <v>151</v>
      </c>
      <c r="B152" s="24">
        <v>3</v>
      </c>
      <c r="C152" s="24">
        <v>1</v>
      </c>
      <c r="D152" s="24">
        <v>2284.34914529915</v>
      </c>
      <c r="E152" s="24">
        <v>394.741025641025</v>
      </c>
      <c r="F152" s="24" t="s">
        <v>129</v>
      </c>
      <c r="G152" s="24" t="s">
        <v>129</v>
      </c>
    </row>
    <row r="153" ht="15" spans="1:7">
      <c r="A153" s="24">
        <v>152</v>
      </c>
      <c r="B153" s="24">
        <v>3</v>
      </c>
      <c r="C153" s="24">
        <v>1</v>
      </c>
      <c r="D153" s="24">
        <v>2134.39188034188</v>
      </c>
      <c r="E153" s="24">
        <v>502.710256410256</v>
      </c>
      <c r="F153" s="24" t="s">
        <v>129</v>
      </c>
      <c r="G153" s="24" t="s">
        <v>129</v>
      </c>
    </row>
    <row r="154" ht="15" spans="1:7">
      <c r="A154" s="24">
        <v>153</v>
      </c>
      <c r="B154" s="24">
        <v>3</v>
      </c>
      <c r="C154" s="24">
        <v>1</v>
      </c>
      <c r="D154" s="24">
        <v>2182.37820512821</v>
      </c>
      <c r="E154" s="24">
        <v>508.708547008547</v>
      </c>
      <c r="F154" s="24" t="s">
        <v>129</v>
      </c>
      <c r="G154" s="24">
        <v>10.47</v>
      </c>
    </row>
    <row r="155" ht="15" spans="1:7">
      <c r="A155" s="24">
        <v>154</v>
      </c>
      <c r="B155" s="24">
        <v>3</v>
      </c>
      <c r="C155" s="24">
        <v>1</v>
      </c>
      <c r="D155" s="24">
        <v>2194.37478632479</v>
      </c>
      <c r="E155" s="24">
        <v>625.675213675214</v>
      </c>
      <c r="F155" s="24">
        <v>10.47</v>
      </c>
      <c r="G155" s="24" t="s">
        <v>130</v>
      </c>
    </row>
    <row r="156" ht="15" spans="1:7">
      <c r="A156" s="24">
        <v>155</v>
      </c>
      <c r="B156" s="24">
        <v>3</v>
      </c>
      <c r="C156" s="24">
        <v>1</v>
      </c>
      <c r="D156" s="24">
        <v>2146.38846153846</v>
      </c>
      <c r="E156" s="24">
        <v>649.668376068376</v>
      </c>
      <c r="F156" s="24" t="s">
        <v>130</v>
      </c>
      <c r="G156" s="24" t="s">
        <v>131</v>
      </c>
    </row>
    <row r="157" ht="15" spans="1:7">
      <c r="A157" s="24">
        <v>156</v>
      </c>
      <c r="B157" s="24">
        <v>3</v>
      </c>
      <c r="C157" s="24">
        <v>2</v>
      </c>
      <c r="D157" s="24">
        <v>2158.38504273504</v>
      </c>
      <c r="E157" s="24">
        <v>1282.48803418803</v>
      </c>
      <c r="F157" s="24" t="s">
        <v>131</v>
      </c>
      <c r="G157" s="24" t="s">
        <v>131</v>
      </c>
    </row>
    <row r="158" ht="15" spans="1:7">
      <c r="A158" s="24">
        <v>157</v>
      </c>
      <c r="B158" s="24">
        <v>3</v>
      </c>
      <c r="C158" s="24">
        <v>2</v>
      </c>
      <c r="D158" s="24">
        <v>2278.35085470086</v>
      </c>
      <c r="E158" s="24">
        <v>961.579487179487</v>
      </c>
      <c r="F158" s="24" t="s">
        <v>131</v>
      </c>
      <c r="G158" s="24" t="s">
        <v>131</v>
      </c>
    </row>
    <row r="159" ht="15" spans="1:7">
      <c r="A159" s="24">
        <v>158</v>
      </c>
      <c r="B159" s="24">
        <v>3</v>
      </c>
      <c r="C159" s="24">
        <v>1</v>
      </c>
      <c r="D159" s="24">
        <v>2266.35427350427</v>
      </c>
      <c r="E159" s="24">
        <v>1135.52991452991</v>
      </c>
      <c r="F159" s="24" t="s">
        <v>131</v>
      </c>
      <c r="G159" s="24" t="s">
        <v>132</v>
      </c>
    </row>
    <row r="160" ht="15" spans="1:7">
      <c r="A160" s="24">
        <v>159</v>
      </c>
      <c r="B160" s="24">
        <v>3</v>
      </c>
      <c r="C160" s="24">
        <v>3</v>
      </c>
      <c r="D160" s="24">
        <v>1900.45854700855</v>
      </c>
      <c r="E160" s="24">
        <v>910.594017094017</v>
      </c>
      <c r="F160" s="24" t="s">
        <v>132</v>
      </c>
      <c r="G160" s="24" t="s">
        <v>133</v>
      </c>
    </row>
    <row r="161" ht="15" spans="1:7">
      <c r="A161" s="24">
        <v>160</v>
      </c>
      <c r="B161" s="24">
        <v>3</v>
      </c>
      <c r="C161" s="24">
        <v>1</v>
      </c>
      <c r="D161" s="24">
        <v>1630.53547008547</v>
      </c>
      <c r="E161" s="24">
        <v>2209.22393162393</v>
      </c>
      <c r="F161" s="24" t="s">
        <v>133</v>
      </c>
      <c r="G161" s="24">
        <v>11.02</v>
      </c>
    </row>
    <row r="162" ht="15" spans="1:7">
      <c r="A162" s="24">
        <v>161</v>
      </c>
      <c r="B162" s="24">
        <v>4</v>
      </c>
      <c r="C162" s="24">
        <v>1</v>
      </c>
      <c r="D162" s="24">
        <v>1657.52777777778</v>
      </c>
      <c r="E162" s="24">
        <v>1855.32478632479</v>
      </c>
      <c r="F162" s="24">
        <v>10.59</v>
      </c>
      <c r="G162" s="24" t="s">
        <v>134</v>
      </c>
    </row>
    <row r="163" ht="15" spans="1:7">
      <c r="A163" s="24">
        <v>162</v>
      </c>
      <c r="B163" s="24">
        <v>4</v>
      </c>
      <c r="C163" s="24">
        <v>1</v>
      </c>
      <c r="D163" s="24">
        <v>1657.52777777778</v>
      </c>
      <c r="E163" s="24">
        <v>1633.38803418803</v>
      </c>
      <c r="F163" s="24" t="s">
        <v>134</v>
      </c>
      <c r="G163" s="24" t="s">
        <v>134</v>
      </c>
    </row>
    <row r="164" ht="15" spans="1:7">
      <c r="A164" s="24">
        <v>163</v>
      </c>
      <c r="B164" s="24">
        <v>4</v>
      </c>
      <c r="C164" s="24">
        <v>1</v>
      </c>
      <c r="D164" s="24">
        <v>1879.46452991453</v>
      </c>
      <c r="E164" s="24">
        <v>1636.38717948718</v>
      </c>
      <c r="F164" s="24" t="s">
        <v>134</v>
      </c>
      <c r="G164" s="24">
        <v>11.01</v>
      </c>
    </row>
    <row r="165" ht="15" spans="1:7">
      <c r="A165" s="24">
        <v>164</v>
      </c>
      <c r="B165" s="24">
        <v>4</v>
      </c>
      <c r="C165" s="24">
        <v>1</v>
      </c>
      <c r="D165" s="24">
        <v>1882.46367521368</v>
      </c>
      <c r="E165" s="24">
        <v>1678.37521367521</v>
      </c>
      <c r="F165" s="24">
        <v>11.01</v>
      </c>
      <c r="G165" s="24">
        <v>11.01</v>
      </c>
    </row>
    <row r="166" ht="15" spans="1:7">
      <c r="A166" s="24">
        <v>165</v>
      </c>
      <c r="B166" s="24">
        <v>4</v>
      </c>
      <c r="C166" s="24">
        <v>1</v>
      </c>
      <c r="D166" s="24">
        <v>1801.48675213675</v>
      </c>
      <c r="E166" s="24">
        <v>1570.40598290598</v>
      </c>
      <c r="F166" s="24">
        <v>11.01</v>
      </c>
      <c r="G166" s="24">
        <v>11.02</v>
      </c>
    </row>
    <row r="167" ht="15" spans="1:7">
      <c r="A167" s="24">
        <v>166</v>
      </c>
      <c r="B167" s="24">
        <v>4</v>
      </c>
      <c r="C167" s="24">
        <v>1</v>
      </c>
      <c r="D167" s="24">
        <v>1720.50982905983</v>
      </c>
      <c r="E167" s="24">
        <v>1510.42307692308</v>
      </c>
      <c r="F167" s="24">
        <v>11.02</v>
      </c>
      <c r="G167" s="24">
        <v>11.04</v>
      </c>
    </row>
    <row r="168" ht="15.75" spans="1:7">
      <c r="A168" s="12">
        <v>167</v>
      </c>
      <c r="B168" s="12">
        <v>4</v>
      </c>
      <c r="C168" s="25">
        <v>1</v>
      </c>
      <c r="D168" s="14">
        <v>1819.48162393162</v>
      </c>
      <c r="E168" s="14">
        <v>1195.51282051282</v>
      </c>
      <c r="F168" s="15">
        <v>11.04</v>
      </c>
      <c r="G168" s="12">
        <v>11.04</v>
      </c>
    </row>
    <row r="169" ht="15.75" spans="1:7">
      <c r="A169" s="12">
        <v>168</v>
      </c>
      <c r="B169" s="12">
        <v>4</v>
      </c>
      <c r="C169" s="25">
        <v>1</v>
      </c>
      <c r="D169" s="14">
        <v>1909.45598290598</v>
      </c>
      <c r="E169" s="14">
        <v>1162.52222222222</v>
      </c>
      <c r="F169" s="15">
        <v>11.04</v>
      </c>
      <c r="G169" s="12">
        <v>11.04</v>
      </c>
    </row>
    <row r="170" ht="15.75" spans="1:7">
      <c r="A170" s="12">
        <v>169</v>
      </c>
      <c r="B170" s="12">
        <v>4</v>
      </c>
      <c r="C170" s="25">
        <v>1</v>
      </c>
      <c r="D170" s="14">
        <v>1786.49102564103</v>
      </c>
      <c r="E170" s="14">
        <v>1120.53418803419</v>
      </c>
      <c r="F170" s="15">
        <v>11.04</v>
      </c>
      <c r="G170" s="12">
        <v>11.04</v>
      </c>
    </row>
    <row r="171" ht="15.75" spans="1:7">
      <c r="A171" s="12">
        <v>170</v>
      </c>
      <c r="B171" s="12">
        <v>4</v>
      </c>
      <c r="C171" s="25">
        <v>1</v>
      </c>
      <c r="D171" s="14">
        <v>1789.49017094017</v>
      </c>
      <c r="E171" s="14">
        <v>1069.54871794872</v>
      </c>
      <c r="F171" s="15">
        <v>11.04</v>
      </c>
      <c r="G171" s="12">
        <v>11.05</v>
      </c>
    </row>
    <row r="172" ht="15.75" spans="1:7">
      <c r="A172" s="12">
        <v>171</v>
      </c>
      <c r="B172" s="12">
        <v>4</v>
      </c>
      <c r="C172" s="25">
        <v>1</v>
      </c>
      <c r="D172" s="14">
        <v>1825.47991452992</v>
      </c>
      <c r="E172" s="14">
        <v>898.597435897436</v>
      </c>
      <c r="F172" s="15">
        <v>11.05</v>
      </c>
      <c r="G172" s="12">
        <v>11.05</v>
      </c>
    </row>
    <row r="173" ht="15.75" spans="1:7">
      <c r="A173" s="12">
        <v>172</v>
      </c>
      <c r="B173" s="12">
        <v>4</v>
      </c>
      <c r="C173" s="25">
        <v>1</v>
      </c>
      <c r="D173" s="14">
        <v>1885.46282051282</v>
      </c>
      <c r="E173" s="14">
        <v>856.609401709402</v>
      </c>
      <c r="F173" s="15">
        <v>11.05</v>
      </c>
      <c r="G173" s="12">
        <v>11.05</v>
      </c>
    </row>
    <row r="174" ht="15.75" spans="1:7">
      <c r="A174" s="12">
        <v>173</v>
      </c>
      <c r="B174" s="12">
        <v>4</v>
      </c>
      <c r="C174" s="25">
        <v>1</v>
      </c>
      <c r="D174" s="14">
        <v>1894.46025641026</v>
      </c>
      <c r="E174" s="14">
        <v>739.642735042735</v>
      </c>
      <c r="F174" s="15">
        <v>11.05</v>
      </c>
      <c r="G174" s="12">
        <v>11.05</v>
      </c>
    </row>
    <row r="175" ht="15.75" spans="1:7">
      <c r="A175" s="12">
        <v>174</v>
      </c>
      <c r="B175" s="12">
        <v>4</v>
      </c>
      <c r="C175" s="25">
        <v>1</v>
      </c>
      <c r="D175" s="14">
        <v>1786.49102564103</v>
      </c>
      <c r="E175" s="14">
        <v>598.682905982906</v>
      </c>
      <c r="F175" s="15">
        <v>11.05</v>
      </c>
      <c r="G175" s="12">
        <v>11.06</v>
      </c>
    </row>
    <row r="176" ht="15.75" spans="1:7">
      <c r="A176" s="12">
        <v>175</v>
      </c>
      <c r="B176" s="12">
        <v>4</v>
      </c>
      <c r="C176" s="25">
        <v>1</v>
      </c>
      <c r="D176" s="14">
        <v>1798.48760683761</v>
      </c>
      <c r="E176" s="14">
        <v>454.723931623932</v>
      </c>
      <c r="F176" s="15">
        <v>11.06</v>
      </c>
      <c r="G176" s="12">
        <v>11.08</v>
      </c>
    </row>
    <row r="177" ht="15.75" spans="1:7">
      <c r="A177" s="12">
        <v>176</v>
      </c>
      <c r="B177" s="12">
        <v>4</v>
      </c>
      <c r="C177" s="25">
        <v>1</v>
      </c>
      <c r="D177" s="14">
        <v>1414.59700854701</v>
      </c>
      <c r="E177" s="14">
        <v>280.773504273504</v>
      </c>
      <c r="F177" s="15">
        <v>11.08</v>
      </c>
      <c r="G177" s="12">
        <v>11.09</v>
      </c>
    </row>
    <row r="178" ht="15.75" spans="1:7">
      <c r="A178" s="12">
        <v>177</v>
      </c>
      <c r="B178" s="12">
        <v>4</v>
      </c>
      <c r="C178" s="25">
        <v>1</v>
      </c>
      <c r="D178" s="14">
        <v>1342.61752136752</v>
      </c>
      <c r="E178" s="14">
        <v>286.771794871795</v>
      </c>
      <c r="F178" s="15">
        <v>11.09</v>
      </c>
      <c r="G178" s="12">
        <v>11.11</v>
      </c>
    </row>
    <row r="179" ht="15.75" spans="1:7">
      <c r="A179" s="12">
        <v>178</v>
      </c>
      <c r="B179" s="12">
        <v>4</v>
      </c>
      <c r="C179" s="25">
        <v>1</v>
      </c>
      <c r="D179" s="14">
        <v>1363.61153846154</v>
      </c>
      <c r="E179" s="14">
        <v>523.704273504273</v>
      </c>
      <c r="F179" s="15">
        <v>11.11</v>
      </c>
      <c r="G179" s="12">
        <v>11.12</v>
      </c>
    </row>
    <row r="180" ht="15.75" spans="1:7">
      <c r="A180" s="12">
        <v>179</v>
      </c>
      <c r="B180" s="12">
        <v>4</v>
      </c>
      <c r="C180" s="25">
        <v>1</v>
      </c>
      <c r="D180" s="14">
        <v>1297.63034188034</v>
      </c>
      <c r="E180" s="14">
        <v>442.72735042735</v>
      </c>
      <c r="F180" s="15">
        <v>11.12</v>
      </c>
      <c r="G180" s="12">
        <v>11.13</v>
      </c>
    </row>
    <row r="181" ht="15.75" spans="1:7">
      <c r="A181" s="12">
        <v>180</v>
      </c>
      <c r="B181" s="12">
        <v>4</v>
      </c>
      <c r="C181" s="25">
        <v>1</v>
      </c>
      <c r="D181" s="14">
        <v>1267.63888888889</v>
      </c>
      <c r="E181" s="14">
        <v>301.767521367521</v>
      </c>
      <c r="F181" s="15">
        <v>11.13</v>
      </c>
      <c r="G181" s="12">
        <v>11.14</v>
      </c>
    </row>
    <row r="182" ht="15.75" spans="1:7">
      <c r="A182" s="12">
        <v>181</v>
      </c>
      <c r="B182" s="12">
        <v>4</v>
      </c>
      <c r="C182" s="25">
        <v>1</v>
      </c>
      <c r="D182" s="14">
        <v>1207.65598290598</v>
      </c>
      <c r="E182" s="14">
        <v>304.766666666666</v>
      </c>
      <c r="F182" s="15">
        <v>11.14</v>
      </c>
      <c r="G182" s="12">
        <v>11.15</v>
      </c>
    </row>
    <row r="183" ht="15.75" spans="1:7">
      <c r="A183" s="12">
        <v>182</v>
      </c>
      <c r="B183" s="12">
        <v>4</v>
      </c>
      <c r="C183" s="25">
        <v>1</v>
      </c>
      <c r="D183" s="14">
        <v>1264.63974358974</v>
      </c>
      <c r="E183" s="14">
        <v>505.709401709401</v>
      </c>
      <c r="F183" s="15">
        <v>11.15</v>
      </c>
      <c r="G183" s="12">
        <v>11.16</v>
      </c>
    </row>
    <row r="184" ht="15.75" spans="1:7">
      <c r="A184" s="12">
        <v>183</v>
      </c>
      <c r="B184" s="12">
        <v>4</v>
      </c>
      <c r="C184" s="25">
        <v>1</v>
      </c>
      <c r="D184" s="14">
        <v>1378.60726495726</v>
      </c>
      <c r="E184" s="14">
        <v>628.674358974359</v>
      </c>
      <c r="F184" s="15">
        <v>11.16</v>
      </c>
      <c r="G184" s="12">
        <v>11.17</v>
      </c>
    </row>
    <row r="185" ht="15.75" spans="1:7">
      <c r="A185" s="12">
        <v>184</v>
      </c>
      <c r="B185" s="12">
        <v>4</v>
      </c>
      <c r="C185" s="25">
        <v>1</v>
      </c>
      <c r="D185" s="14">
        <v>1384.60555555556</v>
      </c>
      <c r="E185" s="14">
        <v>700.653846153846</v>
      </c>
      <c r="F185" s="15">
        <v>11.17</v>
      </c>
      <c r="G185" s="12">
        <v>11.18</v>
      </c>
    </row>
    <row r="186" ht="15.75" spans="1:7">
      <c r="A186" s="12">
        <v>185</v>
      </c>
      <c r="B186" s="12">
        <v>4</v>
      </c>
      <c r="C186" s="25">
        <v>1</v>
      </c>
      <c r="D186" s="14">
        <v>1330.62094017094</v>
      </c>
      <c r="E186" s="14">
        <v>661.664957264957</v>
      </c>
      <c r="F186" s="15">
        <v>11.18</v>
      </c>
      <c r="G186" s="12">
        <v>11.19</v>
      </c>
    </row>
    <row r="187" ht="15.75" spans="1:7">
      <c r="A187" s="12">
        <v>186</v>
      </c>
      <c r="B187" s="12">
        <v>4</v>
      </c>
      <c r="C187" s="25">
        <v>1</v>
      </c>
      <c r="D187" s="14">
        <v>1387.6047008547</v>
      </c>
      <c r="E187" s="14">
        <v>757.637606837607</v>
      </c>
      <c r="F187" s="15">
        <v>11.19</v>
      </c>
      <c r="G187" s="12" t="s">
        <v>135</v>
      </c>
    </row>
    <row r="188" ht="15.75" spans="1:7">
      <c r="A188" s="12">
        <v>187</v>
      </c>
      <c r="B188" s="12">
        <v>4</v>
      </c>
      <c r="C188" s="25">
        <v>1</v>
      </c>
      <c r="D188" s="14">
        <v>1333.62008547009</v>
      </c>
      <c r="E188" s="14">
        <v>760.636752136752</v>
      </c>
      <c r="F188" s="15" t="s">
        <v>135</v>
      </c>
      <c r="G188" s="12">
        <v>11.21</v>
      </c>
    </row>
    <row r="189" ht="15.75" spans="1:7">
      <c r="A189" s="12">
        <v>188</v>
      </c>
      <c r="B189" s="12">
        <v>4</v>
      </c>
      <c r="C189" s="25">
        <v>1</v>
      </c>
      <c r="D189" s="14">
        <v>1399.60128205128</v>
      </c>
      <c r="E189" s="14">
        <v>904.595726495726</v>
      </c>
      <c r="F189" s="15">
        <v>11.21</v>
      </c>
      <c r="G189" s="12">
        <v>11.22</v>
      </c>
    </row>
    <row r="190" ht="15.75" spans="1:7">
      <c r="A190" s="12">
        <v>189</v>
      </c>
      <c r="B190" s="12">
        <v>4</v>
      </c>
      <c r="C190" s="25">
        <v>1</v>
      </c>
      <c r="D190" s="14">
        <v>1408.59871794872</v>
      </c>
      <c r="E190" s="14">
        <v>961.579487179487</v>
      </c>
      <c r="F190" s="15">
        <v>11.22</v>
      </c>
      <c r="G190" s="12">
        <v>11.23</v>
      </c>
    </row>
    <row r="191" ht="15.75" spans="1:7">
      <c r="A191" s="12">
        <v>190</v>
      </c>
      <c r="B191" s="12">
        <v>4</v>
      </c>
      <c r="C191" s="25">
        <v>1</v>
      </c>
      <c r="D191" s="14">
        <v>1306.62777777778</v>
      </c>
      <c r="E191" s="14">
        <v>1021.56239316239</v>
      </c>
      <c r="F191" s="15">
        <v>11.23</v>
      </c>
      <c r="G191" s="12">
        <v>11.23</v>
      </c>
    </row>
    <row r="192" ht="15.75" spans="1:7">
      <c r="A192" s="12">
        <v>191</v>
      </c>
      <c r="B192" s="12">
        <v>4</v>
      </c>
      <c r="C192" s="25">
        <v>1</v>
      </c>
      <c r="D192" s="14">
        <v>1375.60811965812</v>
      </c>
      <c r="E192" s="14">
        <v>1021.56239316239</v>
      </c>
      <c r="F192" s="15">
        <v>11.23</v>
      </c>
      <c r="G192" s="12">
        <v>11.23</v>
      </c>
    </row>
    <row r="193" ht="15.75" spans="1:7">
      <c r="A193" s="12">
        <v>192</v>
      </c>
      <c r="B193" s="12">
        <v>4</v>
      </c>
      <c r="C193" s="25">
        <v>1</v>
      </c>
      <c r="D193" s="14">
        <v>1405.59957264957</v>
      </c>
      <c r="E193" s="14">
        <v>1045.55555555556</v>
      </c>
      <c r="F193" s="15">
        <v>11.23</v>
      </c>
      <c r="G193" s="12">
        <v>11.23</v>
      </c>
    </row>
    <row r="194" ht="15.75" spans="1:7">
      <c r="A194" s="12">
        <v>193</v>
      </c>
      <c r="B194" s="12">
        <v>4</v>
      </c>
      <c r="C194" s="25">
        <v>1</v>
      </c>
      <c r="D194" s="14">
        <v>1390.60384615385</v>
      </c>
      <c r="E194" s="14">
        <v>1162.52222222222</v>
      </c>
      <c r="F194" s="15">
        <v>11.23</v>
      </c>
      <c r="G194" s="12">
        <v>11.24</v>
      </c>
    </row>
    <row r="195" ht="15.75" spans="1:7">
      <c r="A195" s="12">
        <v>194</v>
      </c>
      <c r="B195" s="12">
        <v>4</v>
      </c>
      <c r="C195" s="25">
        <v>1</v>
      </c>
      <c r="D195" s="14">
        <v>1333.62008547009</v>
      </c>
      <c r="E195" s="14">
        <v>1153.52478632479</v>
      </c>
      <c r="F195" s="15">
        <v>11.24</v>
      </c>
      <c r="G195" s="12">
        <v>11.24</v>
      </c>
    </row>
    <row r="196" ht="15.75" spans="1:7">
      <c r="A196" s="12">
        <v>195</v>
      </c>
      <c r="B196" s="12">
        <v>4</v>
      </c>
      <c r="C196" s="25">
        <v>1</v>
      </c>
      <c r="D196" s="14">
        <v>1261.6405982906</v>
      </c>
      <c r="E196" s="14">
        <v>1150.52564102564</v>
      </c>
      <c r="F196" s="15">
        <v>11.24</v>
      </c>
      <c r="G196" s="12">
        <v>11.25</v>
      </c>
    </row>
    <row r="197" ht="15.75" spans="1:7">
      <c r="A197" s="12">
        <v>196</v>
      </c>
      <c r="B197" s="12">
        <v>4</v>
      </c>
      <c r="C197" s="25">
        <v>1</v>
      </c>
      <c r="D197" s="14">
        <v>1192.66025641026</v>
      </c>
      <c r="E197" s="14">
        <v>1162.52222222222</v>
      </c>
      <c r="F197" s="15">
        <v>11.25</v>
      </c>
      <c r="G197" s="12">
        <v>11.25</v>
      </c>
    </row>
    <row r="198" ht="15.75" spans="1:7">
      <c r="A198" s="12">
        <v>197</v>
      </c>
      <c r="B198" s="12">
        <v>4</v>
      </c>
      <c r="C198" s="25">
        <v>1</v>
      </c>
      <c r="D198" s="14">
        <v>1207.65598290598</v>
      </c>
      <c r="E198" s="14">
        <v>1234.50170940171</v>
      </c>
      <c r="F198" s="15">
        <v>11.25</v>
      </c>
      <c r="G198" s="12">
        <v>11.25</v>
      </c>
    </row>
    <row r="199" ht="15.75" spans="1:7">
      <c r="A199" s="12">
        <v>198</v>
      </c>
      <c r="B199" s="12">
        <v>4</v>
      </c>
      <c r="C199" s="25">
        <v>1</v>
      </c>
      <c r="D199" s="14">
        <v>1300.62948717949</v>
      </c>
      <c r="E199" s="14">
        <v>1276.48974358974</v>
      </c>
      <c r="F199" s="15">
        <v>11.25</v>
      </c>
      <c r="G199" s="12">
        <v>11.27</v>
      </c>
    </row>
    <row r="200" ht="15.75" spans="1:7">
      <c r="A200" s="12">
        <v>199</v>
      </c>
      <c r="B200" s="12">
        <v>4</v>
      </c>
      <c r="C200" s="25">
        <v>1</v>
      </c>
      <c r="D200" s="14">
        <v>1390.60384615385</v>
      </c>
      <c r="E200" s="14">
        <v>1225.50427350427</v>
      </c>
      <c r="F200" s="15">
        <v>11.27</v>
      </c>
      <c r="G200" s="12">
        <v>11.29</v>
      </c>
    </row>
    <row r="201" ht="15.75" spans="1:7">
      <c r="A201" s="12">
        <v>200</v>
      </c>
      <c r="B201" s="12">
        <v>4</v>
      </c>
      <c r="C201" s="25">
        <v>1</v>
      </c>
      <c r="D201" s="14">
        <v>1570.55256410256</v>
      </c>
      <c r="E201" s="14">
        <v>1288.48632478632</v>
      </c>
      <c r="F201" s="15">
        <v>11.29</v>
      </c>
      <c r="G201" s="12" t="s">
        <v>136</v>
      </c>
    </row>
    <row r="202" ht="15.75" spans="1:7">
      <c r="A202" s="12">
        <v>201</v>
      </c>
      <c r="B202" s="12">
        <v>4</v>
      </c>
      <c r="C202" s="25">
        <v>1</v>
      </c>
      <c r="D202" s="14">
        <v>1795.48846153846</v>
      </c>
      <c r="E202" s="14">
        <v>1294.48461538462</v>
      </c>
      <c r="F202" s="15" t="s">
        <v>136</v>
      </c>
      <c r="G202" s="12">
        <v>11.32</v>
      </c>
    </row>
    <row r="203" ht="15.75" spans="1:7">
      <c r="A203" s="12">
        <v>202</v>
      </c>
      <c r="B203" s="12">
        <v>4</v>
      </c>
      <c r="C203" s="25">
        <v>1</v>
      </c>
      <c r="D203" s="14">
        <v>2125.39444444445</v>
      </c>
      <c r="E203" s="14">
        <v>1240.5</v>
      </c>
      <c r="F203" s="15">
        <v>11.32</v>
      </c>
      <c r="G203" s="12">
        <v>11.33</v>
      </c>
    </row>
    <row r="204" ht="15.75" spans="1:7">
      <c r="A204" s="12">
        <v>203</v>
      </c>
      <c r="B204" s="12">
        <v>4</v>
      </c>
      <c r="C204" s="25">
        <v>1</v>
      </c>
      <c r="D204" s="14">
        <v>2344.33205128205</v>
      </c>
      <c r="E204" s="14">
        <v>1237.50085470085</v>
      </c>
      <c r="F204" s="15">
        <v>11.33</v>
      </c>
      <c r="G204" s="12">
        <v>11.33</v>
      </c>
    </row>
    <row r="205" ht="15.75" spans="1:7">
      <c r="A205" s="12">
        <v>204</v>
      </c>
      <c r="B205" s="12">
        <v>4</v>
      </c>
      <c r="C205" s="25">
        <v>1</v>
      </c>
      <c r="D205" s="14">
        <v>2347.3311965812</v>
      </c>
      <c r="E205" s="14">
        <v>1273.4905982906</v>
      </c>
      <c r="F205" s="15">
        <v>11.33</v>
      </c>
      <c r="G205" s="12" t="s">
        <v>137</v>
      </c>
    </row>
    <row r="206" ht="15.75" spans="1:7">
      <c r="A206" s="12">
        <v>205</v>
      </c>
      <c r="B206" s="12">
        <v>4</v>
      </c>
      <c r="C206" s="25">
        <v>1</v>
      </c>
      <c r="D206" s="14">
        <v>2353.32948717949</v>
      </c>
      <c r="E206" s="14">
        <v>1318.47777777778</v>
      </c>
      <c r="F206" s="15" t="s">
        <v>137</v>
      </c>
      <c r="G206" s="12">
        <v>11.35</v>
      </c>
    </row>
    <row r="207" ht="15.75" spans="1:7">
      <c r="A207" s="12">
        <v>206</v>
      </c>
      <c r="B207" s="12">
        <v>4</v>
      </c>
      <c r="C207" s="25">
        <v>1</v>
      </c>
      <c r="D207" s="14">
        <v>2257.35683760684</v>
      </c>
      <c r="E207" s="14">
        <v>1156.52393162393</v>
      </c>
      <c r="F207" s="15">
        <v>11.35</v>
      </c>
      <c r="G207" s="12">
        <v>11.38</v>
      </c>
    </row>
    <row r="208" ht="15.75" spans="1:7">
      <c r="A208" s="12">
        <v>207</v>
      </c>
      <c r="B208" s="12">
        <v>4</v>
      </c>
      <c r="C208" s="25">
        <v>1</v>
      </c>
      <c r="D208" s="14">
        <v>2161.38418803419</v>
      </c>
      <c r="E208" s="14">
        <v>1153.52478632479</v>
      </c>
      <c r="F208" s="15">
        <v>11.38</v>
      </c>
      <c r="G208" s="12">
        <v>11.39</v>
      </c>
    </row>
    <row r="209" ht="15.75" spans="1:7">
      <c r="A209" s="12">
        <v>208</v>
      </c>
      <c r="B209" s="12">
        <v>4</v>
      </c>
      <c r="C209" s="25">
        <v>1</v>
      </c>
      <c r="D209" s="14">
        <v>2119.39615384615</v>
      </c>
      <c r="E209" s="14">
        <v>1174.5188034188</v>
      </c>
      <c r="F209" s="15">
        <v>11.39</v>
      </c>
      <c r="G209" s="12">
        <v>11.41</v>
      </c>
    </row>
    <row r="210" ht="15.75" spans="1:7">
      <c r="A210" s="12">
        <v>209</v>
      </c>
      <c r="B210" s="12">
        <v>4</v>
      </c>
      <c r="C210" s="25">
        <v>1</v>
      </c>
      <c r="D210" s="14">
        <v>2332.33547008547</v>
      </c>
      <c r="E210" s="14">
        <v>1090.54273504274</v>
      </c>
      <c r="F210" s="15">
        <v>11.41</v>
      </c>
      <c r="G210" s="12">
        <v>11.42</v>
      </c>
    </row>
    <row r="211" ht="15.75" spans="1:7">
      <c r="A211" s="12">
        <v>210</v>
      </c>
      <c r="B211" s="12">
        <v>4</v>
      </c>
      <c r="C211" s="25">
        <v>1</v>
      </c>
      <c r="D211" s="14">
        <v>2320.33888888889</v>
      </c>
      <c r="E211" s="14">
        <v>955.581196581197</v>
      </c>
      <c r="F211" s="15">
        <v>11.42</v>
      </c>
      <c r="G211" s="12">
        <v>11.43</v>
      </c>
    </row>
    <row r="212" ht="15.75" spans="1:7">
      <c r="A212" s="12">
        <v>211</v>
      </c>
      <c r="B212" s="12">
        <v>4</v>
      </c>
      <c r="C212" s="25">
        <v>1</v>
      </c>
      <c r="D212" s="14">
        <v>2386.32008547009</v>
      </c>
      <c r="E212" s="14">
        <v>667.663247863248</v>
      </c>
      <c r="F212" s="15">
        <v>11.43</v>
      </c>
      <c r="G212" s="12">
        <v>11.44</v>
      </c>
    </row>
    <row r="213" ht="15.75" spans="1:7">
      <c r="A213" s="12">
        <v>212</v>
      </c>
      <c r="B213" s="12">
        <v>4</v>
      </c>
      <c r="C213" s="25">
        <v>1</v>
      </c>
      <c r="D213" s="14">
        <v>2299.34487179487</v>
      </c>
      <c r="E213" s="14">
        <v>628.674358974359</v>
      </c>
      <c r="F213" s="15">
        <v>11.44</v>
      </c>
      <c r="G213" s="12">
        <v>11.45</v>
      </c>
    </row>
    <row r="214" ht="15.75" spans="1:7">
      <c r="A214" s="12">
        <v>213</v>
      </c>
      <c r="B214" s="12">
        <v>4</v>
      </c>
      <c r="C214" s="25">
        <v>1</v>
      </c>
      <c r="D214" s="14">
        <v>2296.34572649573</v>
      </c>
      <c r="E214" s="14">
        <v>553.695726495726</v>
      </c>
      <c r="F214" s="15">
        <v>11.45</v>
      </c>
      <c r="G214" s="12">
        <v>11.46</v>
      </c>
    </row>
    <row r="215" ht="15.75" spans="1:7">
      <c r="A215" s="12">
        <v>214</v>
      </c>
      <c r="B215" s="12">
        <v>4</v>
      </c>
      <c r="C215" s="25">
        <v>1</v>
      </c>
      <c r="D215" s="14">
        <v>2128.39358974359</v>
      </c>
      <c r="E215" s="14">
        <v>514.706837606837</v>
      </c>
      <c r="F215" s="15">
        <v>11.46</v>
      </c>
      <c r="G215" s="12">
        <v>11.47</v>
      </c>
    </row>
    <row r="216" ht="15.75" spans="1:7">
      <c r="A216" s="12">
        <v>215</v>
      </c>
      <c r="B216" s="12">
        <v>4</v>
      </c>
      <c r="C216" s="25">
        <v>1</v>
      </c>
      <c r="D216" s="14">
        <v>2125.39444444445</v>
      </c>
      <c r="E216" s="14">
        <v>472.718803418803</v>
      </c>
      <c r="F216" s="15">
        <v>11.47</v>
      </c>
      <c r="G216" s="12">
        <v>11.48</v>
      </c>
    </row>
    <row r="217" ht="15.75" spans="1:7">
      <c r="A217" s="12">
        <v>216</v>
      </c>
      <c r="B217" s="12">
        <v>4</v>
      </c>
      <c r="C217" s="25">
        <v>1</v>
      </c>
      <c r="D217" s="14">
        <v>2329.33632478633</v>
      </c>
      <c r="E217" s="14">
        <v>364.749572649573</v>
      </c>
      <c r="F217" s="15">
        <v>11.48</v>
      </c>
      <c r="G217" s="12" t="s">
        <v>138</v>
      </c>
    </row>
    <row r="218" ht="15.75" spans="1:7">
      <c r="A218" s="12">
        <v>217</v>
      </c>
      <c r="B218" s="12">
        <v>4</v>
      </c>
      <c r="C218" s="25">
        <v>1</v>
      </c>
      <c r="D218" s="14">
        <v>2242.36111111111</v>
      </c>
      <c r="E218" s="14">
        <v>316.763247863248</v>
      </c>
      <c r="F218" s="15" t="s">
        <v>138</v>
      </c>
      <c r="G218" s="12" t="s">
        <v>139</v>
      </c>
    </row>
    <row r="219" ht="15.75" spans="1:7">
      <c r="A219" s="12">
        <v>218</v>
      </c>
      <c r="B219" s="12">
        <v>4</v>
      </c>
      <c r="C219" s="25">
        <v>1</v>
      </c>
      <c r="D219" s="14">
        <v>1744.50299145299</v>
      </c>
      <c r="E219" s="14">
        <v>1135.52991452991</v>
      </c>
      <c r="F219" s="15" t="s">
        <v>139</v>
      </c>
      <c r="G219" s="12">
        <v>11.52</v>
      </c>
    </row>
    <row r="220" ht="15.75" spans="1:7">
      <c r="A220" s="12">
        <v>219</v>
      </c>
      <c r="B220" s="12">
        <v>4</v>
      </c>
      <c r="C220" s="25">
        <v>1</v>
      </c>
      <c r="D220" s="14">
        <v>1828.47905982906</v>
      </c>
      <c r="E220" s="14">
        <v>1636.38717948718</v>
      </c>
      <c r="F220" s="15" t="s">
        <v>140</v>
      </c>
      <c r="G220" s="12">
        <v>11.53</v>
      </c>
    </row>
    <row r="221" ht="15.75" spans="1:7">
      <c r="A221" s="12">
        <v>220</v>
      </c>
      <c r="B221" s="12">
        <v>5</v>
      </c>
      <c r="C221" s="25">
        <v>2</v>
      </c>
      <c r="D221" s="14">
        <v>1885.46282051282</v>
      </c>
      <c r="E221" s="14">
        <v>2191.22905982906</v>
      </c>
      <c r="F221" s="15" t="s">
        <v>141</v>
      </c>
      <c r="G221" s="12" t="s">
        <v>76</v>
      </c>
    </row>
    <row r="222" ht="15.75" spans="1:7">
      <c r="A222" s="12">
        <v>221</v>
      </c>
      <c r="B222" s="12">
        <v>5</v>
      </c>
      <c r="C222" s="25">
        <v>1</v>
      </c>
      <c r="D222" s="14">
        <v>1870.46709401709</v>
      </c>
      <c r="E222" s="14">
        <v>1786.34444444445</v>
      </c>
      <c r="F222" s="15" t="s">
        <v>76</v>
      </c>
      <c r="G222" s="12" t="s">
        <v>78</v>
      </c>
    </row>
    <row r="223" ht="15.75" spans="1:7">
      <c r="A223" s="12">
        <v>222</v>
      </c>
      <c r="B223" s="12">
        <v>5</v>
      </c>
      <c r="C223" s="25">
        <v>1</v>
      </c>
      <c r="D223" s="14">
        <v>1825.47991452992</v>
      </c>
      <c r="E223" s="14">
        <v>1267.49230769231</v>
      </c>
      <c r="F223" s="15" t="s">
        <v>78</v>
      </c>
      <c r="G223" s="12" t="s">
        <v>78</v>
      </c>
    </row>
    <row r="224" ht="15.75" spans="1:7">
      <c r="A224" s="12">
        <v>223</v>
      </c>
      <c r="B224" s="12">
        <v>5</v>
      </c>
      <c r="C224" s="25">
        <v>1</v>
      </c>
      <c r="D224" s="14">
        <v>1696.51666666667</v>
      </c>
      <c r="E224" s="14">
        <v>1255.49572649573</v>
      </c>
      <c r="F224" s="15" t="s">
        <v>78</v>
      </c>
      <c r="G224" s="12" t="s">
        <v>78</v>
      </c>
    </row>
    <row r="225" ht="15.75" spans="1:7">
      <c r="A225" s="12">
        <v>224</v>
      </c>
      <c r="B225" s="12">
        <v>5</v>
      </c>
      <c r="C225" s="25">
        <v>1</v>
      </c>
      <c r="D225" s="14">
        <v>1378.60726495726</v>
      </c>
      <c r="E225" s="14">
        <v>1327.47521367521</v>
      </c>
      <c r="F225" s="15" t="s">
        <v>78</v>
      </c>
      <c r="G225" s="12" t="s">
        <v>80</v>
      </c>
    </row>
    <row r="226" ht="15.75" spans="1:7">
      <c r="A226" s="12">
        <v>225</v>
      </c>
      <c r="B226" s="12">
        <v>5</v>
      </c>
      <c r="C226" s="25">
        <v>1</v>
      </c>
      <c r="D226" s="14">
        <v>1324.62264957265</v>
      </c>
      <c r="E226" s="14">
        <v>1216.50683760684</v>
      </c>
      <c r="F226" s="15" t="s">
        <v>80</v>
      </c>
      <c r="G226" s="12" t="s">
        <v>83</v>
      </c>
    </row>
    <row r="227" ht="15.75" spans="1:7">
      <c r="A227" s="12">
        <v>226</v>
      </c>
      <c r="B227" s="12">
        <v>5</v>
      </c>
      <c r="C227" s="25">
        <v>1</v>
      </c>
      <c r="D227" s="14">
        <v>1378.60726495726</v>
      </c>
      <c r="E227" s="14">
        <v>1105.53846153846</v>
      </c>
      <c r="F227" s="15" t="s">
        <v>83</v>
      </c>
      <c r="G227" s="12" t="s">
        <v>84</v>
      </c>
    </row>
    <row r="228" ht="15.75" spans="1:7">
      <c r="A228" s="12">
        <v>227</v>
      </c>
      <c r="B228" s="12">
        <v>5</v>
      </c>
      <c r="C228" s="25">
        <v>1</v>
      </c>
      <c r="D228" s="14">
        <v>1387.6047008547</v>
      </c>
      <c r="E228" s="14">
        <v>628.674358974359</v>
      </c>
      <c r="F228" s="15" t="s">
        <v>84</v>
      </c>
      <c r="G228" s="12" t="s">
        <v>85</v>
      </c>
    </row>
    <row r="229" ht="15.75" spans="1:7">
      <c r="A229" s="12">
        <v>228</v>
      </c>
      <c r="B229" s="12">
        <v>5</v>
      </c>
      <c r="C229" s="25">
        <v>1</v>
      </c>
      <c r="D229" s="14">
        <v>1282.63461538462</v>
      </c>
      <c r="E229" s="14">
        <v>634.672649572649</v>
      </c>
      <c r="F229" s="15" t="s">
        <v>85</v>
      </c>
      <c r="G229" s="12" t="s">
        <v>142</v>
      </c>
    </row>
    <row r="230" ht="15.75" spans="1:7">
      <c r="A230" s="12">
        <v>229</v>
      </c>
      <c r="B230" s="12">
        <v>5</v>
      </c>
      <c r="C230" s="25">
        <v>1</v>
      </c>
      <c r="D230" s="14">
        <v>1168.66709401709</v>
      </c>
      <c r="E230" s="14">
        <v>697.654700854701</v>
      </c>
      <c r="F230" s="15" t="s">
        <v>142</v>
      </c>
      <c r="G230" s="12" t="s">
        <v>88</v>
      </c>
    </row>
    <row r="231" ht="15.75" spans="1:7">
      <c r="A231" s="12">
        <v>230</v>
      </c>
      <c r="B231" s="12">
        <v>5</v>
      </c>
      <c r="C231" s="25">
        <v>1</v>
      </c>
      <c r="D231" s="14">
        <v>2251.35854700855</v>
      </c>
      <c r="E231" s="14">
        <v>328.759829059829</v>
      </c>
      <c r="F231" s="15" t="s">
        <v>88</v>
      </c>
      <c r="G231" s="12" t="s">
        <v>90</v>
      </c>
    </row>
    <row r="232" ht="15.75" spans="1:7">
      <c r="A232" s="12">
        <v>231</v>
      </c>
      <c r="B232" s="12">
        <v>5</v>
      </c>
      <c r="C232" s="25">
        <v>1</v>
      </c>
      <c r="D232" s="14">
        <v>2167.38247863248</v>
      </c>
      <c r="E232" s="14">
        <v>949.582905982906</v>
      </c>
      <c r="F232" s="15" t="s">
        <v>90</v>
      </c>
      <c r="G232" s="12" t="s">
        <v>90</v>
      </c>
    </row>
    <row r="233" ht="15.75" spans="1:7">
      <c r="A233" s="12">
        <v>232</v>
      </c>
      <c r="B233" s="12">
        <v>5</v>
      </c>
      <c r="C233" s="25">
        <v>2</v>
      </c>
      <c r="D233" s="14">
        <v>2221.3670940171</v>
      </c>
      <c r="E233" s="14">
        <v>955.581196581197</v>
      </c>
      <c r="F233" s="15" t="s">
        <v>90</v>
      </c>
      <c r="G233" s="12" t="s">
        <v>90</v>
      </c>
    </row>
    <row r="234" ht="15.75" spans="1:7">
      <c r="A234" s="12">
        <v>233</v>
      </c>
      <c r="B234" s="12">
        <v>5</v>
      </c>
      <c r="C234" s="25">
        <v>1</v>
      </c>
      <c r="D234" s="14">
        <v>2371.32435897436</v>
      </c>
      <c r="E234" s="14">
        <v>937.586324786325</v>
      </c>
      <c r="F234" s="15" t="s">
        <v>90</v>
      </c>
      <c r="G234" s="12" t="s">
        <v>92</v>
      </c>
    </row>
    <row r="235" ht="15.75" spans="1:7">
      <c r="A235" s="12">
        <v>234</v>
      </c>
      <c r="B235" s="12">
        <v>5</v>
      </c>
      <c r="C235" s="25">
        <v>1</v>
      </c>
      <c r="D235" s="14">
        <v>2329.33632478633</v>
      </c>
      <c r="E235" s="14">
        <v>1096.54102564103</v>
      </c>
      <c r="F235" s="15" t="s">
        <v>92</v>
      </c>
      <c r="G235" s="12" t="s">
        <v>93</v>
      </c>
    </row>
    <row r="236" ht="15.75" spans="1:7">
      <c r="A236" s="12">
        <v>235</v>
      </c>
      <c r="B236" s="12">
        <v>5</v>
      </c>
      <c r="C236" s="25">
        <v>1</v>
      </c>
      <c r="D236" s="14">
        <v>2233.36367521368</v>
      </c>
      <c r="E236" s="14">
        <v>1096.54102564103</v>
      </c>
      <c r="F236" s="15" t="s">
        <v>93</v>
      </c>
      <c r="G236" s="12" t="s">
        <v>94</v>
      </c>
    </row>
    <row r="237" ht="15.75" spans="1:7">
      <c r="A237" s="12">
        <v>236</v>
      </c>
      <c r="B237" s="12">
        <v>5</v>
      </c>
      <c r="C237" s="25">
        <v>1</v>
      </c>
      <c r="D237" s="14">
        <v>2167.38247863248</v>
      </c>
      <c r="E237" s="14">
        <v>1141.52820512821</v>
      </c>
      <c r="F237" s="15" t="s">
        <v>94</v>
      </c>
      <c r="G237" s="12" t="s">
        <v>95</v>
      </c>
    </row>
    <row r="238" ht="15.75" spans="1:7">
      <c r="A238" s="12">
        <v>237</v>
      </c>
      <c r="B238" s="12">
        <v>5</v>
      </c>
      <c r="C238" s="25">
        <v>1</v>
      </c>
      <c r="D238" s="14">
        <v>2209.37051282051</v>
      </c>
      <c r="E238" s="14">
        <v>1150.52564102564</v>
      </c>
      <c r="F238" s="15" t="s">
        <v>95</v>
      </c>
      <c r="G238" s="12" t="s">
        <v>96</v>
      </c>
    </row>
    <row r="239" ht="15.75" spans="1:7">
      <c r="A239" s="12">
        <v>238</v>
      </c>
      <c r="B239" s="12">
        <v>5</v>
      </c>
      <c r="C239" s="25">
        <v>1</v>
      </c>
      <c r="D239" s="14">
        <v>2272.35256410256</v>
      </c>
      <c r="E239" s="14">
        <v>1153.52478632479</v>
      </c>
      <c r="F239" s="15" t="s">
        <v>96</v>
      </c>
      <c r="G239" s="12" t="s">
        <v>98</v>
      </c>
    </row>
    <row r="240" ht="15.75" spans="1:7">
      <c r="A240" s="12">
        <v>239</v>
      </c>
      <c r="B240" s="12">
        <v>5</v>
      </c>
      <c r="C240" s="25">
        <v>1</v>
      </c>
      <c r="D240" s="14">
        <v>2344.33205128205</v>
      </c>
      <c r="E240" s="14">
        <v>1228.50341880342</v>
      </c>
      <c r="F240" s="15" t="s">
        <v>98</v>
      </c>
      <c r="G240" s="12" t="s">
        <v>98</v>
      </c>
    </row>
    <row r="241" ht="15.75" spans="1:7">
      <c r="A241" s="12">
        <v>240</v>
      </c>
      <c r="B241" s="12">
        <v>5</v>
      </c>
      <c r="C241" s="25">
        <v>1</v>
      </c>
      <c r="D241" s="14">
        <v>2281.35</v>
      </c>
      <c r="E241" s="14">
        <v>1279.48888888889</v>
      </c>
      <c r="F241" s="15" t="s">
        <v>98</v>
      </c>
      <c r="G241" s="12" t="s">
        <v>98</v>
      </c>
    </row>
    <row r="242" ht="15.75" spans="1:7">
      <c r="A242" s="12">
        <v>241</v>
      </c>
      <c r="B242" s="12">
        <v>5</v>
      </c>
      <c r="C242" s="25">
        <v>1</v>
      </c>
      <c r="D242" s="14">
        <v>2344.33205128205</v>
      </c>
      <c r="E242" s="14">
        <v>1282.48803418803</v>
      </c>
      <c r="F242" s="15" t="s">
        <v>98</v>
      </c>
      <c r="G242" s="12" t="s">
        <v>98</v>
      </c>
    </row>
    <row r="243" ht="15.75" spans="1:7">
      <c r="A243" s="12">
        <v>242</v>
      </c>
      <c r="B243" s="12">
        <v>5</v>
      </c>
      <c r="C243" s="25">
        <v>1</v>
      </c>
      <c r="D243" s="14">
        <v>2251.35854700855</v>
      </c>
      <c r="E243" s="14">
        <v>1255.49572649573</v>
      </c>
      <c r="F243" s="15" t="s">
        <v>98</v>
      </c>
      <c r="G243" s="12" t="s">
        <v>99</v>
      </c>
    </row>
    <row r="244" ht="15.75" spans="1:7">
      <c r="A244" s="12">
        <v>243</v>
      </c>
      <c r="B244" s="12">
        <v>5</v>
      </c>
      <c r="C244" s="25">
        <v>1</v>
      </c>
      <c r="D244" s="14">
        <v>2194.37478632479</v>
      </c>
      <c r="E244" s="14">
        <v>1246.49829059829</v>
      </c>
      <c r="F244" s="15" t="s">
        <v>99</v>
      </c>
      <c r="G244" s="12" t="s">
        <v>99</v>
      </c>
    </row>
    <row r="245" ht="15.75" spans="1:7">
      <c r="A245" s="12">
        <v>244</v>
      </c>
      <c r="B245" s="12">
        <v>5</v>
      </c>
      <c r="C245" s="25">
        <v>1</v>
      </c>
      <c r="D245" s="14">
        <v>2137.39102564103</v>
      </c>
      <c r="E245" s="14">
        <v>1033.55897435897</v>
      </c>
      <c r="F245" s="15" t="s">
        <v>99</v>
      </c>
      <c r="G245" s="12" t="s">
        <v>101</v>
      </c>
    </row>
    <row r="246" ht="15.75" spans="1:7">
      <c r="A246" s="12">
        <v>245</v>
      </c>
      <c r="B246" s="12">
        <v>5</v>
      </c>
      <c r="C246" s="25">
        <v>1</v>
      </c>
      <c r="D246" s="14">
        <v>2182.37820512821</v>
      </c>
      <c r="E246" s="14">
        <v>751.639316239316</v>
      </c>
      <c r="F246" s="15" t="s">
        <v>101</v>
      </c>
      <c r="G246" s="12" t="s">
        <v>103</v>
      </c>
    </row>
    <row r="247" ht="15.75" spans="1:7">
      <c r="A247" s="12">
        <v>246</v>
      </c>
      <c r="B247" s="12">
        <v>5</v>
      </c>
      <c r="C247" s="25">
        <v>1</v>
      </c>
      <c r="D247" s="14">
        <v>2191.37564102564</v>
      </c>
      <c r="E247" s="14">
        <v>646.669230769231</v>
      </c>
      <c r="F247" s="15" t="s">
        <v>103</v>
      </c>
      <c r="G247" s="12">
        <v>10.12</v>
      </c>
    </row>
    <row r="248" ht="15.75" spans="1:7">
      <c r="A248" s="12">
        <v>247</v>
      </c>
      <c r="B248" s="12">
        <v>5</v>
      </c>
      <c r="C248" s="25">
        <v>1</v>
      </c>
      <c r="D248" s="14">
        <v>2200.37307692308</v>
      </c>
      <c r="E248" s="14">
        <v>583.687179487179</v>
      </c>
      <c r="F248" s="15">
        <v>10.12</v>
      </c>
      <c r="G248" s="12">
        <v>10.13</v>
      </c>
    </row>
    <row r="249" ht="15.75" spans="1:7">
      <c r="A249" s="12">
        <v>248</v>
      </c>
      <c r="B249" s="12">
        <v>5</v>
      </c>
      <c r="C249" s="25">
        <v>1</v>
      </c>
      <c r="D249" s="14">
        <v>2245.36025641026</v>
      </c>
      <c r="E249" s="14">
        <v>613.678632478632</v>
      </c>
      <c r="F249" s="15">
        <v>10.13</v>
      </c>
      <c r="G249" s="12">
        <v>10.14</v>
      </c>
    </row>
    <row r="250" ht="15.75" spans="1:7">
      <c r="A250" s="12">
        <v>249</v>
      </c>
      <c r="B250" s="12">
        <v>5</v>
      </c>
      <c r="C250" s="25">
        <v>1</v>
      </c>
      <c r="D250" s="14">
        <v>2236.36282051282</v>
      </c>
      <c r="E250" s="14">
        <v>508.708547008547</v>
      </c>
      <c r="F250" s="15">
        <v>10.14</v>
      </c>
      <c r="G250" s="12">
        <v>10.15</v>
      </c>
    </row>
    <row r="251" ht="15.75" spans="1:7">
      <c r="A251" s="12">
        <v>250</v>
      </c>
      <c r="B251" s="12">
        <v>5</v>
      </c>
      <c r="C251" s="25">
        <v>1</v>
      </c>
      <c r="D251" s="14">
        <v>2176.37991452992</v>
      </c>
      <c r="E251" s="14">
        <v>457.723076923077</v>
      </c>
      <c r="F251" s="15">
        <v>10.15</v>
      </c>
      <c r="G251" s="12">
        <v>10.16</v>
      </c>
    </row>
    <row r="252" ht="15.75" spans="1:7">
      <c r="A252" s="12">
        <v>251</v>
      </c>
      <c r="B252" s="12">
        <v>5</v>
      </c>
      <c r="C252" s="25">
        <v>1</v>
      </c>
      <c r="D252" s="14">
        <v>2143.38931623932</v>
      </c>
      <c r="E252" s="14">
        <v>517.705982905983</v>
      </c>
      <c r="F252" s="15">
        <v>10.16</v>
      </c>
      <c r="G252" s="12">
        <v>10.17</v>
      </c>
    </row>
    <row r="253" ht="15.75" spans="1:7">
      <c r="A253" s="12">
        <v>252</v>
      </c>
      <c r="B253" s="12">
        <v>5</v>
      </c>
      <c r="C253" s="25">
        <v>1</v>
      </c>
      <c r="D253" s="14">
        <v>2119.39615384615</v>
      </c>
      <c r="E253" s="14">
        <v>442.72735042735</v>
      </c>
      <c r="F253" s="15">
        <v>10.17</v>
      </c>
      <c r="G253" s="12">
        <v>10.18</v>
      </c>
    </row>
    <row r="254" ht="15.75" spans="1:7">
      <c r="A254" s="12">
        <v>253</v>
      </c>
      <c r="B254" s="12">
        <v>5</v>
      </c>
      <c r="C254" s="25">
        <v>1</v>
      </c>
      <c r="D254" s="14">
        <v>2272.35256410256</v>
      </c>
      <c r="E254" s="14">
        <v>355.752136752137</v>
      </c>
      <c r="F254" s="15">
        <v>10.18</v>
      </c>
      <c r="G254" s="12">
        <v>10.18</v>
      </c>
    </row>
    <row r="255" ht="15.75" spans="1:7">
      <c r="A255" s="12">
        <v>254</v>
      </c>
      <c r="B255" s="12">
        <v>5</v>
      </c>
      <c r="C255" s="25">
        <v>2</v>
      </c>
      <c r="D255" s="14">
        <v>2176.37991452992</v>
      </c>
      <c r="E255" s="14">
        <v>304.766666666666</v>
      </c>
      <c r="F255" s="15">
        <v>10.18</v>
      </c>
      <c r="G255" s="12">
        <v>10.18</v>
      </c>
    </row>
    <row r="256" ht="15.75" spans="1:7">
      <c r="A256" s="12">
        <v>255</v>
      </c>
      <c r="B256" s="12">
        <v>5</v>
      </c>
      <c r="C256" s="25">
        <v>1</v>
      </c>
      <c r="D256" s="14">
        <v>1987.43376068376</v>
      </c>
      <c r="E256" s="14">
        <v>301.767521367521</v>
      </c>
      <c r="F256" s="15">
        <v>10.18</v>
      </c>
      <c r="G256" s="12">
        <v>10.19</v>
      </c>
    </row>
    <row r="257" ht="15.75" spans="1:7">
      <c r="A257" s="12">
        <v>256</v>
      </c>
      <c r="B257" s="12">
        <v>5</v>
      </c>
      <c r="C257" s="25">
        <v>1</v>
      </c>
      <c r="D257" s="14">
        <v>1915.45427350427</v>
      </c>
      <c r="E257" s="14">
        <v>382.744444444444</v>
      </c>
      <c r="F257" s="15">
        <v>10.19</v>
      </c>
      <c r="G257" s="12" t="s">
        <v>110</v>
      </c>
    </row>
    <row r="258" ht="15.75" spans="1:7">
      <c r="A258" s="12">
        <v>257</v>
      </c>
      <c r="B258" s="12">
        <v>5</v>
      </c>
      <c r="C258" s="25">
        <v>1</v>
      </c>
      <c r="D258" s="14">
        <v>1897.4594017094</v>
      </c>
      <c r="E258" s="14">
        <v>430.730769230769</v>
      </c>
      <c r="F258" s="15" t="s">
        <v>110</v>
      </c>
      <c r="G258" s="12" t="s">
        <v>110</v>
      </c>
    </row>
    <row r="259" ht="15.75" spans="1:7">
      <c r="A259" s="12">
        <v>258</v>
      </c>
      <c r="B259" s="12">
        <v>5</v>
      </c>
      <c r="C259" s="25">
        <v>1</v>
      </c>
      <c r="D259" s="14">
        <v>1861.46965811966</v>
      </c>
      <c r="E259" s="14">
        <v>382.744444444444</v>
      </c>
      <c r="F259" s="15" t="s">
        <v>110</v>
      </c>
      <c r="G259" s="12">
        <v>10.21</v>
      </c>
    </row>
    <row r="260" ht="15.75" spans="1:7">
      <c r="A260" s="12">
        <v>259</v>
      </c>
      <c r="B260" s="12">
        <v>5</v>
      </c>
      <c r="C260" s="25">
        <v>1</v>
      </c>
      <c r="D260" s="14">
        <v>1774.49444444444</v>
      </c>
      <c r="E260" s="14">
        <v>310.764957264957</v>
      </c>
      <c r="F260" s="15">
        <v>10.21</v>
      </c>
      <c r="G260" s="12">
        <v>10.22</v>
      </c>
    </row>
    <row r="261" ht="15.75" spans="1:7">
      <c r="A261" s="12">
        <v>260</v>
      </c>
      <c r="B261" s="12">
        <v>5</v>
      </c>
      <c r="C261" s="25">
        <v>1</v>
      </c>
      <c r="D261" s="14">
        <v>1657.52777777778</v>
      </c>
      <c r="E261" s="14">
        <v>388.742735042735</v>
      </c>
      <c r="F261" s="15">
        <v>10.22</v>
      </c>
      <c r="G261" s="12">
        <v>10.23</v>
      </c>
    </row>
    <row r="262" ht="15.75" spans="1:7">
      <c r="A262" s="12">
        <v>261</v>
      </c>
      <c r="B262" s="12">
        <v>5</v>
      </c>
      <c r="C262" s="25">
        <v>1</v>
      </c>
      <c r="D262" s="14">
        <v>1603.54316239316</v>
      </c>
      <c r="E262" s="14">
        <v>418.734188034188</v>
      </c>
      <c r="F262" s="15">
        <v>10.23</v>
      </c>
      <c r="G262" s="12">
        <v>10.24</v>
      </c>
    </row>
    <row r="263" ht="15.75" spans="1:7">
      <c r="A263" s="12">
        <v>262</v>
      </c>
      <c r="B263" s="12">
        <v>5</v>
      </c>
      <c r="C263" s="25">
        <v>2</v>
      </c>
      <c r="D263" s="14">
        <v>1510.56965811966</v>
      </c>
      <c r="E263" s="14">
        <v>292.770085470085</v>
      </c>
      <c r="F263" s="15">
        <v>10.24</v>
      </c>
      <c r="G263" s="12">
        <v>10.24</v>
      </c>
    </row>
    <row r="264" ht="15.75" spans="1:7">
      <c r="A264" s="12">
        <v>263</v>
      </c>
      <c r="B264" s="12">
        <v>5</v>
      </c>
      <c r="C264" s="25">
        <v>1</v>
      </c>
      <c r="D264" s="14">
        <v>1243.64572649573</v>
      </c>
      <c r="E264" s="14">
        <v>385.743589743589</v>
      </c>
      <c r="F264" s="15">
        <v>10.24</v>
      </c>
      <c r="G264" s="12">
        <v>10.25</v>
      </c>
    </row>
    <row r="265" ht="15.75" spans="1:7">
      <c r="A265" s="12">
        <v>264</v>
      </c>
      <c r="B265" s="12">
        <v>5</v>
      </c>
      <c r="C265" s="25">
        <v>1</v>
      </c>
      <c r="D265" s="14">
        <v>1384.60555555556</v>
      </c>
      <c r="E265" s="14">
        <v>463.721367521368</v>
      </c>
      <c r="F265" s="15">
        <v>10.25</v>
      </c>
      <c r="G265" s="12">
        <v>10.25</v>
      </c>
    </row>
    <row r="266" ht="15.75" spans="1:7">
      <c r="A266" s="12">
        <v>265</v>
      </c>
      <c r="B266" s="12">
        <v>5</v>
      </c>
      <c r="C266" s="25">
        <v>2</v>
      </c>
      <c r="D266" s="14">
        <v>1309.62692307692</v>
      </c>
      <c r="E266" s="14">
        <v>511.707692307692</v>
      </c>
      <c r="F266" s="15">
        <v>10.25</v>
      </c>
      <c r="G266" s="12">
        <v>10.25</v>
      </c>
    </row>
    <row r="267" ht="15.75" spans="1:7">
      <c r="A267" s="12">
        <v>266</v>
      </c>
      <c r="B267" s="12">
        <v>5</v>
      </c>
      <c r="C267" s="25">
        <v>1</v>
      </c>
      <c r="D267" s="14">
        <v>1324.62264957265</v>
      </c>
      <c r="E267" s="14">
        <v>628.674358974359</v>
      </c>
      <c r="F267" s="15">
        <v>10.25</v>
      </c>
      <c r="G267" s="12">
        <v>10.26</v>
      </c>
    </row>
    <row r="268" ht="15.75" spans="1:7">
      <c r="A268" s="12">
        <v>267</v>
      </c>
      <c r="B268" s="12">
        <v>5</v>
      </c>
      <c r="C268" s="25">
        <v>1</v>
      </c>
      <c r="D268" s="14">
        <v>1387.6047008547</v>
      </c>
      <c r="E268" s="14">
        <v>733.644444444444</v>
      </c>
      <c r="F268" s="15">
        <v>10.26</v>
      </c>
      <c r="G268" s="12">
        <v>10.27</v>
      </c>
    </row>
    <row r="269" ht="15.75" spans="1:7">
      <c r="A269" s="12">
        <v>268</v>
      </c>
      <c r="B269" s="12">
        <v>5</v>
      </c>
      <c r="C269" s="25">
        <v>1</v>
      </c>
      <c r="D269" s="14">
        <v>1378.60726495726</v>
      </c>
      <c r="E269" s="14">
        <v>826.617948717949</v>
      </c>
      <c r="F269" s="15">
        <v>10.27</v>
      </c>
      <c r="G269" s="12">
        <v>10.28</v>
      </c>
    </row>
    <row r="270" ht="15.75" spans="1:7">
      <c r="A270" s="12">
        <v>269</v>
      </c>
      <c r="B270" s="12">
        <v>5</v>
      </c>
      <c r="C270" s="25">
        <v>1</v>
      </c>
      <c r="D270" s="14">
        <v>1372.60897435897</v>
      </c>
      <c r="E270" s="14">
        <v>919.591452991453</v>
      </c>
      <c r="F270" s="15">
        <v>10.28</v>
      </c>
      <c r="G270" s="12">
        <v>10.29</v>
      </c>
    </row>
    <row r="271" ht="15.75" spans="1:7">
      <c r="A271" s="12">
        <v>270</v>
      </c>
      <c r="B271" s="12">
        <v>5</v>
      </c>
      <c r="C271" s="25">
        <v>2</v>
      </c>
      <c r="D271" s="14">
        <v>1351.61495726496</v>
      </c>
      <c r="E271" s="14">
        <v>967.577777777778</v>
      </c>
      <c r="F271" s="15">
        <v>10.29</v>
      </c>
      <c r="G271" s="12">
        <v>10.29</v>
      </c>
    </row>
    <row r="272" ht="15.75" spans="1:7">
      <c r="A272" s="12">
        <v>271</v>
      </c>
      <c r="B272" s="12">
        <v>5</v>
      </c>
      <c r="C272" s="25">
        <v>2</v>
      </c>
      <c r="D272" s="14">
        <v>1234.64829059829</v>
      </c>
      <c r="E272" s="14">
        <v>961.579487179487</v>
      </c>
      <c r="F272" s="15">
        <v>10.29</v>
      </c>
      <c r="G272" s="12" t="s">
        <v>116</v>
      </c>
    </row>
    <row r="273" ht="15.75" spans="1:7">
      <c r="A273" s="12">
        <v>272</v>
      </c>
      <c r="B273" s="12">
        <v>5</v>
      </c>
      <c r="C273" s="25">
        <v>1</v>
      </c>
      <c r="D273" s="14">
        <v>1231.64914529915</v>
      </c>
      <c r="E273" s="14">
        <v>1018.56324786325</v>
      </c>
      <c r="F273" s="15" t="s">
        <v>116</v>
      </c>
      <c r="G273" s="12">
        <v>10.31</v>
      </c>
    </row>
    <row r="274" ht="15.75" spans="1:7">
      <c r="A274" s="12">
        <v>273</v>
      </c>
      <c r="B274" s="12">
        <v>5</v>
      </c>
      <c r="C274" s="25">
        <v>2</v>
      </c>
      <c r="D274" s="14">
        <v>1288.63290598291</v>
      </c>
      <c r="E274" s="14">
        <v>1057.55213675214</v>
      </c>
      <c r="F274" s="15">
        <v>10.31</v>
      </c>
      <c r="G274" s="12">
        <v>10.31</v>
      </c>
    </row>
    <row r="275" ht="15.75" spans="1:7">
      <c r="A275" s="12">
        <v>274</v>
      </c>
      <c r="B275" s="12">
        <v>5</v>
      </c>
      <c r="C275" s="25">
        <v>1</v>
      </c>
      <c r="D275" s="14">
        <v>1396.60213675214</v>
      </c>
      <c r="E275" s="14">
        <v>1093.54188034188</v>
      </c>
      <c r="F275" s="15">
        <v>10.31</v>
      </c>
      <c r="G275" s="12">
        <v>10.32</v>
      </c>
    </row>
    <row r="276" ht="15.75" spans="1:7">
      <c r="A276" s="12">
        <v>275</v>
      </c>
      <c r="B276" s="12">
        <v>5</v>
      </c>
      <c r="C276" s="25">
        <v>1</v>
      </c>
      <c r="D276" s="14">
        <v>1267.63888888889</v>
      </c>
      <c r="E276" s="14">
        <v>1156.52393162393</v>
      </c>
      <c r="F276" s="15">
        <v>10.32</v>
      </c>
      <c r="G276" s="12" t="s">
        <v>118</v>
      </c>
    </row>
    <row r="277" ht="15.75" spans="1:7">
      <c r="A277" s="12">
        <v>276</v>
      </c>
      <c r="B277" s="12">
        <v>5</v>
      </c>
      <c r="C277" s="25">
        <v>2</v>
      </c>
      <c r="D277" s="14">
        <v>1246.64487179487</v>
      </c>
      <c r="E277" s="14">
        <v>1291.48547008547</v>
      </c>
      <c r="F277" s="15" t="s">
        <v>118</v>
      </c>
      <c r="G277" s="12" t="s">
        <v>120</v>
      </c>
    </row>
    <row r="278" ht="15.75" spans="1:7">
      <c r="A278" s="12">
        <v>277</v>
      </c>
      <c r="B278" s="12">
        <v>5</v>
      </c>
      <c r="C278" s="25">
        <v>1</v>
      </c>
      <c r="D278" s="14">
        <v>1765.49700854701</v>
      </c>
      <c r="E278" s="14">
        <v>1294.48461538462</v>
      </c>
      <c r="F278" s="15" t="s">
        <v>120</v>
      </c>
      <c r="G278" s="12" t="s">
        <v>143</v>
      </c>
    </row>
    <row r="279" ht="15.75" spans="1:7">
      <c r="A279" s="12">
        <v>278</v>
      </c>
      <c r="B279" s="12">
        <v>5</v>
      </c>
      <c r="C279" s="26">
        <v>3</v>
      </c>
      <c r="D279" s="14">
        <v>1534.56282051282</v>
      </c>
      <c r="E279" s="14">
        <v>2332.18888888889</v>
      </c>
      <c r="F279" s="15" t="s">
        <v>143</v>
      </c>
      <c r="G279" s="27">
        <v>10.5</v>
      </c>
    </row>
    <row r="280" ht="15.75" spans="1:7">
      <c r="A280" s="12">
        <v>279</v>
      </c>
      <c r="B280" s="12">
        <v>6</v>
      </c>
      <c r="C280" s="25">
        <v>1</v>
      </c>
      <c r="D280" s="14">
        <v>1537.56196581197</v>
      </c>
      <c r="E280" s="14">
        <v>1894.31367521368</v>
      </c>
      <c r="F280" s="15" t="s">
        <v>144</v>
      </c>
      <c r="G280" s="12" t="s">
        <v>144</v>
      </c>
    </row>
    <row r="281" ht="15.75" spans="1:7">
      <c r="A281" s="12">
        <v>280</v>
      </c>
      <c r="B281" s="12">
        <v>6</v>
      </c>
      <c r="C281" s="25">
        <v>1</v>
      </c>
      <c r="D281" s="14">
        <v>1540.56111111111</v>
      </c>
      <c r="E281" s="14">
        <v>1834.33076923077</v>
      </c>
      <c r="F281" s="15" t="s">
        <v>144</v>
      </c>
      <c r="G281" s="12" t="s">
        <v>144</v>
      </c>
    </row>
    <row r="282" ht="15.75" spans="1:7">
      <c r="A282" s="12">
        <v>281</v>
      </c>
      <c r="B282" s="12">
        <v>6</v>
      </c>
      <c r="C282" s="25">
        <v>2</v>
      </c>
      <c r="D282" s="14">
        <v>1543.56025641026</v>
      </c>
      <c r="E282" s="14">
        <v>1762.35128205128</v>
      </c>
      <c r="F282" s="15" t="s">
        <v>144</v>
      </c>
      <c r="G282" s="12" t="s">
        <v>145</v>
      </c>
    </row>
    <row r="283" ht="15.75" spans="1:7">
      <c r="A283" s="12">
        <v>282</v>
      </c>
      <c r="B283" s="12">
        <v>6</v>
      </c>
      <c r="C283" s="25">
        <v>2</v>
      </c>
      <c r="D283" s="14">
        <v>1825.47991452992</v>
      </c>
      <c r="E283" s="14">
        <v>1633.38803418803</v>
      </c>
      <c r="F283" s="15" t="s">
        <v>145</v>
      </c>
      <c r="G283" s="12" t="s">
        <v>145</v>
      </c>
    </row>
    <row r="284" ht="15.75" spans="1:7">
      <c r="A284" s="12">
        <v>283</v>
      </c>
      <c r="B284" s="12">
        <v>6</v>
      </c>
      <c r="C284" s="25">
        <v>1</v>
      </c>
      <c r="D284" s="14">
        <v>1867.46794871795</v>
      </c>
      <c r="E284" s="14">
        <v>1717.3641025641</v>
      </c>
      <c r="F284" s="15" t="s">
        <v>145</v>
      </c>
      <c r="G284" s="12" t="s">
        <v>146</v>
      </c>
    </row>
    <row r="285" ht="15.75" spans="1:7">
      <c r="A285" s="12">
        <v>284</v>
      </c>
      <c r="B285" s="12">
        <v>6</v>
      </c>
      <c r="C285" s="25">
        <v>1</v>
      </c>
      <c r="D285" s="14">
        <v>1783.49188034188</v>
      </c>
      <c r="E285" s="14">
        <v>1564.40769230769</v>
      </c>
      <c r="F285" s="15" t="s">
        <v>146</v>
      </c>
      <c r="G285" s="12" t="s">
        <v>146</v>
      </c>
    </row>
    <row r="286" ht="15.75" spans="1:7">
      <c r="A286" s="12">
        <v>285</v>
      </c>
      <c r="B286" s="12">
        <v>6</v>
      </c>
      <c r="C286" s="25">
        <v>1</v>
      </c>
      <c r="D286" s="14">
        <v>1774.49444444444</v>
      </c>
      <c r="E286" s="14">
        <v>1495.42735042735</v>
      </c>
      <c r="F286" s="15" t="s">
        <v>146</v>
      </c>
      <c r="G286" s="12" t="s">
        <v>146</v>
      </c>
    </row>
    <row r="287" ht="15.75" spans="1:7">
      <c r="A287" s="12">
        <v>286</v>
      </c>
      <c r="B287" s="12">
        <v>6</v>
      </c>
      <c r="C287" s="25">
        <v>1</v>
      </c>
      <c r="D287" s="14">
        <v>1738.5047008547</v>
      </c>
      <c r="E287" s="14">
        <v>1498.4264957265</v>
      </c>
      <c r="F287" s="15" t="s">
        <v>146</v>
      </c>
      <c r="G287" s="12" t="s">
        <v>147</v>
      </c>
    </row>
    <row r="288" ht="15.75" spans="1:7">
      <c r="A288" s="12">
        <v>287</v>
      </c>
      <c r="B288" s="12">
        <v>6</v>
      </c>
      <c r="C288" s="25">
        <v>2</v>
      </c>
      <c r="D288" s="14">
        <v>1552.55769230769</v>
      </c>
      <c r="E288" s="14">
        <v>1306.4811965812</v>
      </c>
      <c r="F288" s="15" t="s">
        <v>147</v>
      </c>
      <c r="G288" s="12" t="s">
        <v>147</v>
      </c>
    </row>
    <row r="289" ht="15.75" spans="1:7">
      <c r="A289" s="12">
        <v>288</v>
      </c>
      <c r="B289" s="12">
        <v>6</v>
      </c>
      <c r="C289" s="25">
        <v>1</v>
      </c>
      <c r="D289" s="14">
        <v>1396.60213675214</v>
      </c>
      <c r="E289" s="14">
        <v>1243.49914529915</v>
      </c>
      <c r="F289" s="15" t="s">
        <v>147</v>
      </c>
      <c r="G289" s="12" t="s">
        <v>147</v>
      </c>
    </row>
    <row r="290" ht="15.75" spans="1:7">
      <c r="A290" s="12">
        <v>289</v>
      </c>
      <c r="B290" s="12">
        <v>6</v>
      </c>
      <c r="C290" s="25">
        <v>1</v>
      </c>
      <c r="D290" s="14">
        <v>1303.62863247863</v>
      </c>
      <c r="E290" s="14">
        <v>1246.49829059829</v>
      </c>
      <c r="F290" s="15" t="s">
        <v>147</v>
      </c>
      <c r="G290" s="12" t="s">
        <v>147</v>
      </c>
    </row>
    <row r="291" ht="15.75" spans="1:7">
      <c r="A291" s="12">
        <v>290</v>
      </c>
      <c r="B291" s="12">
        <v>6</v>
      </c>
      <c r="C291" s="25">
        <v>1</v>
      </c>
      <c r="D291" s="14">
        <v>1309.62692307692</v>
      </c>
      <c r="E291" s="14">
        <v>1162.52222222222</v>
      </c>
      <c r="F291" s="15" t="s">
        <v>147</v>
      </c>
      <c r="G291" s="12" t="s">
        <v>148</v>
      </c>
    </row>
    <row r="292" ht="15.75" spans="1:7">
      <c r="A292" s="12">
        <v>291</v>
      </c>
      <c r="B292" s="12">
        <v>6</v>
      </c>
      <c r="C292" s="25">
        <v>1</v>
      </c>
      <c r="D292" s="14">
        <v>1357.61324786325</v>
      </c>
      <c r="E292" s="14">
        <v>1159.52307692308</v>
      </c>
      <c r="F292" s="15" t="s">
        <v>148</v>
      </c>
      <c r="G292" s="12" t="s">
        <v>148</v>
      </c>
    </row>
    <row r="293" ht="15.75" spans="1:7">
      <c r="A293" s="12">
        <v>292</v>
      </c>
      <c r="B293" s="12">
        <v>6</v>
      </c>
      <c r="C293" s="25">
        <v>1</v>
      </c>
      <c r="D293" s="14">
        <v>1384.60555555556</v>
      </c>
      <c r="E293" s="14">
        <v>1129.53162393162</v>
      </c>
      <c r="F293" s="15" t="s">
        <v>148</v>
      </c>
      <c r="G293" s="12" t="s">
        <v>148</v>
      </c>
    </row>
    <row r="294" ht="15.75" spans="1:7">
      <c r="A294" s="12">
        <v>293</v>
      </c>
      <c r="B294" s="12">
        <v>6</v>
      </c>
      <c r="C294" s="25">
        <v>1</v>
      </c>
      <c r="D294" s="14">
        <v>1390.60384615385</v>
      </c>
      <c r="E294" s="14">
        <v>1021.56239316239</v>
      </c>
      <c r="F294" s="15" t="s">
        <v>148</v>
      </c>
      <c r="G294" s="12" t="s">
        <v>149</v>
      </c>
    </row>
    <row r="295" ht="15.75" spans="1:7">
      <c r="A295" s="12">
        <v>294</v>
      </c>
      <c r="B295" s="12">
        <v>6</v>
      </c>
      <c r="C295" s="25">
        <v>1</v>
      </c>
      <c r="D295" s="14">
        <v>1240.64658119658</v>
      </c>
      <c r="E295" s="14">
        <v>988.571794871795</v>
      </c>
      <c r="F295" s="15" t="s">
        <v>149</v>
      </c>
      <c r="G295" s="12" t="s">
        <v>149</v>
      </c>
    </row>
    <row r="296" ht="15.75" spans="1:7">
      <c r="A296" s="12">
        <v>295</v>
      </c>
      <c r="B296" s="12">
        <v>6</v>
      </c>
      <c r="C296" s="25">
        <v>1</v>
      </c>
      <c r="D296" s="14">
        <v>1147.67307692308</v>
      </c>
      <c r="E296" s="14">
        <v>934.58717948718</v>
      </c>
      <c r="F296" s="15" t="s">
        <v>149</v>
      </c>
      <c r="G296" s="12" t="s">
        <v>149</v>
      </c>
    </row>
    <row r="297" ht="15.75" spans="1:7">
      <c r="A297" s="12">
        <v>296</v>
      </c>
      <c r="B297" s="12">
        <v>6</v>
      </c>
      <c r="C297" s="25">
        <v>1</v>
      </c>
      <c r="D297" s="14">
        <v>1378.60726495726</v>
      </c>
      <c r="E297" s="14">
        <v>907.594871794872</v>
      </c>
      <c r="F297" s="15" t="s">
        <v>149</v>
      </c>
      <c r="G297" s="12" t="s">
        <v>150</v>
      </c>
    </row>
    <row r="298" ht="15.75" spans="1:7">
      <c r="A298" s="12">
        <v>297</v>
      </c>
      <c r="B298" s="12">
        <v>6</v>
      </c>
      <c r="C298" s="25">
        <v>1</v>
      </c>
      <c r="D298" s="14">
        <v>1384.60555555556</v>
      </c>
      <c r="E298" s="14">
        <v>760.636752136752</v>
      </c>
      <c r="F298" s="15" t="s">
        <v>150</v>
      </c>
      <c r="G298" s="12" t="s">
        <v>151</v>
      </c>
    </row>
    <row r="299" ht="15.75" spans="1:7">
      <c r="A299" s="12">
        <v>298</v>
      </c>
      <c r="B299" s="12">
        <v>6</v>
      </c>
      <c r="C299" s="25">
        <v>2</v>
      </c>
      <c r="D299" s="14">
        <v>1390.60384615385</v>
      </c>
      <c r="E299" s="14">
        <v>685.65811965812</v>
      </c>
      <c r="F299" s="15" t="s">
        <v>151</v>
      </c>
      <c r="G299" s="12" t="s">
        <v>151</v>
      </c>
    </row>
    <row r="300" ht="15.75" spans="1:7">
      <c r="A300" s="12">
        <v>299</v>
      </c>
      <c r="B300" s="12">
        <v>6</v>
      </c>
      <c r="C300" s="25">
        <v>1</v>
      </c>
      <c r="D300" s="14">
        <v>1360.61239316239</v>
      </c>
      <c r="E300" s="14">
        <v>643.670085470085</v>
      </c>
      <c r="F300" s="15" t="s">
        <v>151</v>
      </c>
      <c r="G300" s="12" t="s">
        <v>151</v>
      </c>
    </row>
    <row r="301" ht="15.75" spans="1:7">
      <c r="A301" s="12">
        <v>300</v>
      </c>
      <c r="B301" s="12">
        <v>6</v>
      </c>
      <c r="C301" s="25">
        <v>1</v>
      </c>
      <c r="D301" s="14">
        <v>1315.62521367521</v>
      </c>
      <c r="E301" s="14">
        <v>634.672649572649</v>
      </c>
      <c r="F301" s="15" t="s">
        <v>151</v>
      </c>
      <c r="G301" s="12" t="s">
        <v>152</v>
      </c>
    </row>
    <row r="302" ht="15.75" spans="1:7">
      <c r="A302" s="12">
        <v>301</v>
      </c>
      <c r="B302" s="12">
        <v>6</v>
      </c>
      <c r="C302" s="25">
        <v>1</v>
      </c>
      <c r="D302" s="14">
        <v>1165.66794871795</v>
      </c>
      <c r="E302" s="14">
        <v>676.660683760684</v>
      </c>
      <c r="F302" s="15" t="s">
        <v>152</v>
      </c>
      <c r="G302" s="12" t="s">
        <v>152</v>
      </c>
    </row>
    <row r="303" ht="15.75" spans="1:7">
      <c r="A303" s="12">
        <v>302</v>
      </c>
      <c r="B303" s="12">
        <v>6</v>
      </c>
      <c r="C303" s="25">
        <v>2</v>
      </c>
      <c r="D303" s="14">
        <v>1177.66452991453</v>
      </c>
      <c r="E303" s="14">
        <v>601.682051282051</v>
      </c>
      <c r="F303" s="15" t="s">
        <v>152</v>
      </c>
      <c r="G303" s="12" t="s">
        <v>152</v>
      </c>
    </row>
    <row r="304" ht="15.75" spans="1:7">
      <c r="A304" s="12">
        <v>303</v>
      </c>
      <c r="B304" s="12">
        <v>6</v>
      </c>
      <c r="C304" s="25">
        <v>4</v>
      </c>
      <c r="D304" s="14">
        <v>1192.66025641026</v>
      </c>
      <c r="E304" s="14">
        <v>511.707692307692</v>
      </c>
      <c r="F304" s="15" t="s">
        <v>152</v>
      </c>
      <c r="G304" s="12" t="s">
        <v>152</v>
      </c>
    </row>
    <row r="305" ht="15.75" spans="1:7">
      <c r="A305" s="12">
        <v>304</v>
      </c>
      <c r="B305" s="12">
        <v>6</v>
      </c>
      <c r="C305" s="25">
        <v>1</v>
      </c>
      <c r="D305" s="14">
        <v>1189.66111111111</v>
      </c>
      <c r="E305" s="14">
        <v>379.745299145299</v>
      </c>
      <c r="F305" s="15" t="s">
        <v>152</v>
      </c>
      <c r="G305" s="12" t="s">
        <v>153</v>
      </c>
    </row>
    <row r="306" ht="15.75" spans="1:7">
      <c r="A306" s="12">
        <v>305</v>
      </c>
      <c r="B306" s="12">
        <v>6</v>
      </c>
      <c r="C306" s="25">
        <v>1</v>
      </c>
      <c r="D306" s="14">
        <v>1267.63888888889</v>
      </c>
      <c r="E306" s="14">
        <v>319.762393162393</v>
      </c>
      <c r="F306" s="15" t="s">
        <v>153</v>
      </c>
      <c r="G306" s="12" t="s">
        <v>153</v>
      </c>
    </row>
    <row r="307" ht="15.75" spans="1:7">
      <c r="A307" s="12">
        <v>306</v>
      </c>
      <c r="B307" s="12">
        <v>6</v>
      </c>
      <c r="C307" s="25">
        <v>1</v>
      </c>
      <c r="D307" s="14">
        <v>1294.6311965812</v>
      </c>
      <c r="E307" s="14">
        <v>373.747008547008</v>
      </c>
      <c r="F307" s="15" t="s">
        <v>153</v>
      </c>
      <c r="G307" s="12" t="s">
        <v>154</v>
      </c>
    </row>
    <row r="308" ht="15.75" spans="1:7">
      <c r="A308" s="12">
        <v>307</v>
      </c>
      <c r="B308" s="12">
        <v>6</v>
      </c>
      <c r="C308" s="25">
        <v>2</v>
      </c>
      <c r="D308" s="14">
        <v>1399.60128205128</v>
      </c>
      <c r="E308" s="14">
        <v>382.744444444444</v>
      </c>
      <c r="F308" s="15" t="s">
        <v>154</v>
      </c>
      <c r="G308" s="12" t="s">
        <v>154</v>
      </c>
    </row>
    <row r="309" ht="15.75" spans="1:7">
      <c r="A309" s="12">
        <v>308</v>
      </c>
      <c r="B309" s="12">
        <v>6</v>
      </c>
      <c r="C309" s="25">
        <v>2</v>
      </c>
      <c r="D309" s="14">
        <v>1576.55085470085</v>
      </c>
      <c r="E309" s="14">
        <v>316.763247863248</v>
      </c>
      <c r="F309" s="15" t="s">
        <v>154</v>
      </c>
      <c r="G309" s="12" t="s">
        <v>154</v>
      </c>
    </row>
    <row r="310" ht="15.75" spans="1:7">
      <c r="A310" s="12">
        <v>309</v>
      </c>
      <c r="B310" s="12">
        <v>6</v>
      </c>
      <c r="C310" s="25">
        <v>1</v>
      </c>
      <c r="D310" s="14">
        <v>1789.49017094017</v>
      </c>
      <c r="E310" s="14">
        <v>328.759829059829</v>
      </c>
      <c r="F310" s="15" t="s">
        <v>154</v>
      </c>
      <c r="G310" s="12" t="s">
        <v>155</v>
      </c>
    </row>
    <row r="311" ht="15.75" spans="1:7">
      <c r="A311" s="12">
        <v>310</v>
      </c>
      <c r="B311" s="12">
        <v>6</v>
      </c>
      <c r="C311" s="25">
        <v>1</v>
      </c>
      <c r="D311" s="14">
        <v>1963.4405982906</v>
      </c>
      <c r="E311" s="14">
        <v>331.758974358974</v>
      </c>
      <c r="F311" s="15" t="s">
        <v>155</v>
      </c>
      <c r="G311" s="12" t="s">
        <v>156</v>
      </c>
    </row>
    <row r="312" ht="15.75" spans="1:7">
      <c r="A312" s="12">
        <v>311</v>
      </c>
      <c r="B312" s="12">
        <v>6</v>
      </c>
      <c r="C312" s="25">
        <v>1</v>
      </c>
      <c r="D312" s="14">
        <v>2299.34487179487</v>
      </c>
      <c r="E312" s="14">
        <v>430.730769230769</v>
      </c>
      <c r="F312" s="15" t="s">
        <v>156</v>
      </c>
      <c r="G312" s="12" t="s">
        <v>157</v>
      </c>
    </row>
    <row r="313" ht="15.75" spans="1:7">
      <c r="A313" s="12">
        <v>312</v>
      </c>
      <c r="B313" s="12">
        <v>6</v>
      </c>
      <c r="C313" s="25">
        <v>1</v>
      </c>
      <c r="D313" s="14">
        <v>2143.38931623932</v>
      </c>
      <c r="E313" s="14">
        <v>499.711111111111</v>
      </c>
      <c r="F313" s="15" t="s">
        <v>157</v>
      </c>
      <c r="G313" s="12" t="s">
        <v>157</v>
      </c>
    </row>
    <row r="314" ht="15.75" spans="1:7">
      <c r="A314" s="12">
        <v>313</v>
      </c>
      <c r="B314" s="12">
        <v>6</v>
      </c>
      <c r="C314" s="25">
        <v>1</v>
      </c>
      <c r="D314" s="14">
        <v>2167.38247863248</v>
      </c>
      <c r="E314" s="14">
        <v>571.690598290598</v>
      </c>
      <c r="F314" s="15" t="s">
        <v>157</v>
      </c>
      <c r="G314" s="12" t="s">
        <v>157</v>
      </c>
    </row>
    <row r="315" ht="15.75" spans="1:7">
      <c r="A315" s="12">
        <v>314</v>
      </c>
      <c r="B315" s="12">
        <v>6</v>
      </c>
      <c r="C315" s="25">
        <v>4</v>
      </c>
      <c r="D315" s="14">
        <v>2248.3594017094</v>
      </c>
      <c r="E315" s="14">
        <v>571.690598290598</v>
      </c>
      <c r="F315" s="15" t="s">
        <v>157</v>
      </c>
      <c r="G315" s="12" t="s">
        <v>158</v>
      </c>
    </row>
    <row r="316" ht="15.75" spans="1:7">
      <c r="A316" s="12">
        <v>315</v>
      </c>
      <c r="B316" s="12">
        <v>6</v>
      </c>
      <c r="C316" s="25">
        <v>1</v>
      </c>
      <c r="D316" s="14">
        <v>2170.38162393162</v>
      </c>
      <c r="E316" s="14">
        <v>295.76923076923</v>
      </c>
      <c r="F316" s="15" t="s">
        <v>158</v>
      </c>
      <c r="G316" s="12" t="s">
        <v>158</v>
      </c>
    </row>
    <row r="317" ht="15.75" spans="1:7">
      <c r="A317" s="12">
        <v>316</v>
      </c>
      <c r="B317" s="12">
        <v>6</v>
      </c>
      <c r="C317" s="25">
        <v>2</v>
      </c>
      <c r="D317" s="14">
        <v>1720.50982905983</v>
      </c>
      <c r="E317" s="14">
        <v>292.770085470085</v>
      </c>
      <c r="F317" s="15" t="s">
        <v>158</v>
      </c>
      <c r="G317" s="12" t="s">
        <v>159</v>
      </c>
    </row>
    <row r="318" ht="15.75" spans="1:7">
      <c r="A318" s="12">
        <v>317</v>
      </c>
      <c r="B318" s="12">
        <v>6</v>
      </c>
      <c r="C318" s="25">
        <v>1</v>
      </c>
      <c r="D318" s="14">
        <v>2290.34743589744</v>
      </c>
      <c r="E318" s="14">
        <v>373.747008547008</v>
      </c>
      <c r="F318" s="15" t="s">
        <v>159</v>
      </c>
      <c r="G318" s="12" t="s">
        <v>159</v>
      </c>
    </row>
    <row r="319" ht="15.75" spans="1:7">
      <c r="A319" s="12">
        <v>318</v>
      </c>
      <c r="B319" s="12">
        <v>6</v>
      </c>
      <c r="C319" s="25">
        <v>1</v>
      </c>
      <c r="D319" s="14">
        <v>2275.35170940171</v>
      </c>
      <c r="E319" s="14">
        <v>406.737606837607</v>
      </c>
      <c r="F319" s="15" t="s">
        <v>159</v>
      </c>
      <c r="G319" s="12" t="s">
        <v>160</v>
      </c>
    </row>
    <row r="320" ht="15.75" spans="1:7">
      <c r="A320" s="12">
        <v>319</v>
      </c>
      <c r="B320" s="12">
        <v>6</v>
      </c>
      <c r="C320" s="25">
        <v>4</v>
      </c>
      <c r="D320" s="14">
        <v>2335.33461538462</v>
      </c>
      <c r="E320" s="14">
        <v>628.674358974359</v>
      </c>
      <c r="F320" s="15" t="s">
        <v>160</v>
      </c>
      <c r="G320" s="12" t="s">
        <v>160</v>
      </c>
    </row>
    <row r="321" ht="15.75" spans="1:7">
      <c r="A321" s="12">
        <v>320</v>
      </c>
      <c r="B321" s="12">
        <v>6</v>
      </c>
      <c r="C321" s="25">
        <v>2</v>
      </c>
      <c r="D321" s="14">
        <v>2260.35598290598</v>
      </c>
      <c r="E321" s="14">
        <v>637.671794871795</v>
      </c>
      <c r="F321" s="15" t="s">
        <v>160</v>
      </c>
      <c r="G321" s="12" t="s">
        <v>161</v>
      </c>
    </row>
    <row r="322" ht="15.75" spans="1:7">
      <c r="A322" s="12">
        <v>321</v>
      </c>
      <c r="B322" s="12">
        <v>6</v>
      </c>
      <c r="C322" s="25">
        <v>2</v>
      </c>
      <c r="D322" s="14">
        <v>2191.37564102564</v>
      </c>
      <c r="E322" s="14">
        <v>724.647008547009</v>
      </c>
      <c r="F322" s="15" t="s">
        <v>161</v>
      </c>
      <c r="G322" s="12" t="s">
        <v>162</v>
      </c>
    </row>
    <row r="323" ht="15.75" spans="1:7">
      <c r="A323" s="12">
        <v>322</v>
      </c>
      <c r="B323" s="12">
        <v>6</v>
      </c>
      <c r="C323" s="25">
        <v>1</v>
      </c>
      <c r="D323" s="14">
        <v>2176.37991452992</v>
      </c>
      <c r="E323" s="14">
        <v>781.630769230769</v>
      </c>
      <c r="F323" s="15" t="s">
        <v>162</v>
      </c>
      <c r="G323" s="12" t="s">
        <v>162</v>
      </c>
    </row>
    <row r="324" ht="15.75" spans="1:7">
      <c r="A324" s="12">
        <v>323</v>
      </c>
      <c r="B324" s="12">
        <v>6</v>
      </c>
      <c r="C324" s="25">
        <v>2</v>
      </c>
      <c r="D324" s="14">
        <v>2197.37393162393</v>
      </c>
      <c r="E324" s="14">
        <v>955.581196581197</v>
      </c>
      <c r="F324" s="15" t="s">
        <v>162</v>
      </c>
      <c r="G324" s="12" t="s">
        <v>162</v>
      </c>
    </row>
    <row r="325" ht="15.75" spans="1:7">
      <c r="A325" s="12">
        <v>324</v>
      </c>
      <c r="B325" s="12">
        <v>6</v>
      </c>
      <c r="C325" s="25">
        <v>1</v>
      </c>
      <c r="D325" s="14">
        <v>2398.31666666667</v>
      </c>
      <c r="E325" s="14">
        <v>880.602564102564</v>
      </c>
      <c r="F325" s="15" t="s">
        <v>162</v>
      </c>
      <c r="G325" s="12" t="s">
        <v>162</v>
      </c>
    </row>
    <row r="326" ht="15.75" spans="1:7">
      <c r="A326" s="12">
        <v>325</v>
      </c>
      <c r="B326" s="12">
        <v>6</v>
      </c>
      <c r="C326" s="25">
        <v>2</v>
      </c>
      <c r="D326" s="14">
        <v>2350.33034188034</v>
      </c>
      <c r="E326" s="14">
        <v>991.57094017094</v>
      </c>
      <c r="F326" s="15" t="s">
        <v>162</v>
      </c>
      <c r="G326" s="12" t="s">
        <v>163</v>
      </c>
    </row>
    <row r="327" ht="15.75" spans="1:7">
      <c r="A327" s="12">
        <v>326</v>
      </c>
      <c r="B327" s="12">
        <v>6</v>
      </c>
      <c r="C327" s="25">
        <v>4</v>
      </c>
      <c r="D327" s="14">
        <v>2329.33632478633</v>
      </c>
      <c r="E327" s="14">
        <v>1069.54871794872</v>
      </c>
      <c r="F327" s="15" t="s">
        <v>163</v>
      </c>
      <c r="G327" s="12" t="s">
        <v>163</v>
      </c>
    </row>
    <row r="328" ht="15.75" spans="1:7">
      <c r="A328" s="12">
        <v>327</v>
      </c>
      <c r="B328" s="12">
        <v>6</v>
      </c>
      <c r="C328" s="25">
        <v>1</v>
      </c>
      <c r="D328" s="14">
        <v>2239.36196581197</v>
      </c>
      <c r="E328" s="14">
        <v>1081.5452991453</v>
      </c>
      <c r="F328" s="15" t="s">
        <v>163</v>
      </c>
      <c r="G328" s="12" t="s">
        <v>164</v>
      </c>
    </row>
    <row r="329" ht="15.75" spans="1:7">
      <c r="A329" s="12">
        <v>328</v>
      </c>
      <c r="B329" s="12">
        <v>6</v>
      </c>
      <c r="C329" s="25">
        <v>1</v>
      </c>
      <c r="D329" s="14">
        <v>2158.38504273504</v>
      </c>
      <c r="E329" s="14">
        <v>1183.51623931624</v>
      </c>
      <c r="F329" s="15" t="s">
        <v>164</v>
      </c>
      <c r="G329" s="12" t="s">
        <v>164</v>
      </c>
    </row>
    <row r="330" ht="15.75" spans="1:7">
      <c r="A330" s="12">
        <v>329</v>
      </c>
      <c r="B330" s="12">
        <v>6</v>
      </c>
      <c r="C330" s="25">
        <v>2</v>
      </c>
      <c r="D330" s="14">
        <v>2200.37307692308</v>
      </c>
      <c r="E330" s="14">
        <v>1186.51538461538</v>
      </c>
      <c r="F330" s="15" t="s">
        <v>164</v>
      </c>
      <c r="G330" s="12" t="s">
        <v>164</v>
      </c>
    </row>
    <row r="331" ht="15.75" spans="1:7">
      <c r="A331" s="12">
        <v>330</v>
      </c>
      <c r="B331" s="12">
        <v>6</v>
      </c>
      <c r="C331" s="25">
        <v>1</v>
      </c>
      <c r="D331" s="14">
        <v>2263.35512820513</v>
      </c>
      <c r="E331" s="14">
        <v>1192.51367521368</v>
      </c>
      <c r="F331" s="15" t="s">
        <v>164</v>
      </c>
      <c r="G331" s="12" t="s">
        <v>165</v>
      </c>
    </row>
    <row r="332" ht="15.75" spans="1:7">
      <c r="A332" s="12">
        <v>331</v>
      </c>
      <c r="B332" s="12">
        <v>6</v>
      </c>
      <c r="C332" s="25">
        <v>1</v>
      </c>
      <c r="D332" s="14">
        <v>2335.33461538462</v>
      </c>
      <c r="E332" s="14">
        <v>1183.51623931624</v>
      </c>
      <c r="F332" s="15" t="s">
        <v>165</v>
      </c>
      <c r="G332" s="12" t="s">
        <v>165</v>
      </c>
    </row>
    <row r="333" ht="15.75" spans="1:7">
      <c r="A333" s="12">
        <v>332</v>
      </c>
      <c r="B333" s="12">
        <v>6</v>
      </c>
      <c r="C333" s="25">
        <v>2</v>
      </c>
      <c r="D333" s="14">
        <v>2338.33376068376</v>
      </c>
      <c r="E333" s="14">
        <v>1234.50170940171</v>
      </c>
      <c r="F333" s="15" t="s">
        <v>165</v>
      </c>
      <c r="G333" s="12" t="s">
        <v>165</v>
      </c>
    </row>
    <row r="334" ht="15.75" spans="1:7">
      <c r="A334" s="12">
        <v>333</v>
      </c>
      <c r="B334" s="12">
        <v>6</v>
      </c>
      <c r="C334" s="25">
        <v>1</v>
      </c>
      <c r="D334" s="14">
        <v>2329.33632478633</v>
      </c>
      <c r="E334" s="14">
        <v>1324.47606837607</v>
      </c>
      <c r="F334" s="15" t="s">
        <v>165</v>
      </c>
      <c r="G334" s="12" t="s">
        <v>165</v>
      </c>
    </row>
    <row r="335" ht="15.75" spans="1:7">
      <c r="A335" s="12">
        <v>334</v>
      </c>
      <c r="B335" s="12">
        <v>6</v>
      </c>
      <c r="C335" s="25">
        <v>1</v>
      </c>
      <c r="D335" s="14">
        <v>2197.37393162393</v>
      </c>
      <c r="E335" s="14">
        <v>1243.49914529915</v>
      </c>
      <c r="F335" s="15" t="s">
        <v>165</v>
      </c>
      <c r="G335" s="12" t="s">
        <v>166</v>
      </c>
    </row>
    <row r="336" ht="15.75" spans="1:7">
      <c r="A336" s="12">
        <v>335</v>
      </c>
      <c r="B336" s="12">
        <v>6</v>
      </c>
      <c r="C336" s="25">
        <v>1</v>
      </c>
      <c r="D336" s="14">
        <v>1897.4594017094</v>
      </c>
      <c r="E336" s="14">
        <v>1228.50341880342</v>
      </c>
      <c r="F336" s="15" t="s">
        <v>166</v>
      </c>
      <c r="G336" s="12" t="s">
        <v>166</v>
      </c>
    </row>
    <row r="337" ht="15.75" spans="1:7">
      <c r="A337" s="12">
        <v>336</v>
      </c>
      <c r="B337" s="12">
        <v>6</v>
      </c>
      <c r="C337" s="25">
        <v>1</v>
      </c>
      <c r="D337" s="14">
        <v>1828.47905982906</v>
      </c>
      <c r="E337" s="14">
        <v>1231.50256410256</v>
      </c>
      <c r="F337" s="15" t="s">
        <v>166</v>
      </c>
      <c r="G337" s="12">
        <v>14.58</v>
      </c>
    </row>
    <row r="338" ht="15.75" spans="1:7">
      <c r="A338" s="12">
        <v>337</v>
      </c>
      <c r="B338" s="12">
        <v>6</v>
      </c>
      <c r="C338" s="25">
        <v>2</v>
      </c>
      <c r="D338" s="14">
        <v>1249.64401709402</v>
      </c>
      <c r="E338" s="14">
        <v>1234.50170940171</v>
      </c>
      <c r="F338" s="15" t="s">
        <v>167</v>
      </c>
      <c r="G338" s="12" t="s">
        <v>168</v>
      </c>
    </row>
    <row r="339" ht="15.75" spans="1:7">
      <c r="A339" s="12">
        <v>338</v>
      </c>
      <c r="B339" s="12">
        <v>6</v>
      </c>
      <c r="C339" s="25">
        <v>1</v>
      </c>
      <c r="D339" s="14">
        <v>1351.61495726496</v>
      </c>
      <c r="E339" s="14">
        <v>1141.52820512821</v>
      </c>
      <c r="F339" s="15" t="s">
        <v>168</v>
      </c>
      <c r="G339" s="12" t="s">
        <v>168</v>
      </c>
    </row>
    <row r="340" ht="15.75" spans="1:7">
      <c r="A340" s="12">
        <v>339</v>
      </c>
      <c r="B340" s="12">
        <v>6</v>
      </c>
      <c r="C340" s="25">
        <v>2</v>
      </c>
      <c r="D340" s="14">
        <v>1393.60299145299</v>
      </c>
      <c r="E340" s="14">
        <v>1075.54700854701</v>
      </c>
      <c r="F340" s="15" t="s">
        <v>168</v>
      </c>
      <c r="G340" s="12" t="s">
        <v>169</v>
      </c>
    </row>
    <row r="341" ht="15.75" spans="1:7">
      <c r="A341" s="12">
        <v>340</v>
      </c>
      <c r="B341" s="12">
        <v>6</v>
      </c>
      <c r="C341" s="25">
        <v>1</v>
      </c>
      <c r="D341" s="14">
        <v>1243.64572649573</v>
      </c>
      <c r="E341" s="14">
        <v>1048.5547008547</v>
      </c>
      <c r="F341" s="15" t="s">
        <v>169</v>
      </c>
      <c r="G341" s="12" t="s">
        <v>170</v>
      </c>
    </row>
    <row r="342" ht="15.75" spans="1:7">
      <c r="A342" s="12">
        <v>341</v>
      </c>
      <c r="B342" s="12">
        <v>6</v>
      </c>
      <c r="C342" s="25">
        <v>1</v>
      </c>
      <c r="D342" s="14">
        <v>1366.61068376068</v>
      </c>
      <c r="E342" s="14">
        <v>946.583760683761</v>
      </c>
      <c r="F342" s="15" t="s">
        <v>170</v>
      </c>
      <c r="G342" s="12" t="s">
        <v>171</v>
      </c>
    </row>
    <row r="343" ht="15.75" spans="1:7">
      <c r="A343" s="12">
        <v>342</v>
      </c>
      <c r="B343" s="12">
        <v>6</v>
      </c>
      <c r="C343" s="25">
        <v>1</v>
      </c>
      <c r="D343" s="14">
        <v>1396.60213675214</v>
      </c>
      <c r="E343" s="14">
        <v>892.599145299145</v>
      </c>
      <c r="F343" s="15" t="s">
        <v>171</v>
      </c>
      <c r="G343" s="12" t="s">
        <v>171</v>
      </c>
    </row>
    <row r="344" ht="15.75" spans="1:7">
      <c r="A344" s="12">
        <v>343</v>
      </c>
      <c r="B344" s="12">
        <v>6</v>
      </c>
      <c r="C344" s="25">
        <v>1</v>
      </c>
      <c r="D344" s="14">
        <v>1333.62008547009</v>
      </c>
      <c r="E344" s="14">
        <v>895.598290598291</v>
      </c>
      <c r="F344" s="15" t="s">
        <v>171</v>
      </c>
      <c r="G344" s="12" t="s">
        <v>171</v>
      </c>
    </row>
    <row r="345" ht="15.75" spans="1:7">
      <c r="A345" s="12">
        <v>344</v>
      </c>
      <c r="B345" s="12">
        <v>6</v>
      </c>
      <c r="C345" s="25">
        <v>2</v>
      </c>
      <c r="D345" s="14">
        <v>1396.60213675214</v>
      </c>
      <c r="E345" s="14">
        <v>766.635042735043</v>
      </c>
      <c r="F345" s="15" t="s">
        <v>171</v>
      </c>
      <c r="G345" s="12" t="s">
        <v>172</v>
      </c>
    </row>
    <row r="346" ht="15.75" spans="1:7">
      <c r="A346" s="12">
        <v>345</v>
      </c>
      <c r="B346" s="12">
        <v>6</v>
      </c>
      <c r="C346" s="25">
        <v>1</v>
      </c>
      <c r="D346" s="14">
        <v>1393.60299145299</v>
      </c>
      <c r="E346" s="14">
        <v>616.677777777778</v>
      </c>
      <c r="F346" s="15" t="s">
        <v>172</v>
      </c>
      <c r="G346" s="12" t="s">
        <v>172</v>
      </c>
    </row>
    <row r="347" ht="15.75" spans="1:7">
      <c r="A347" s="12">
        <v>346</v>
      </c>
      <c r="B347" s="12">
        <v>6</v>
      </c>
      <c r="C347" s="25">
        <v>2</v>
      </c>
      <c r="D347" s="14">
        <v>1240.64658119658</v>
      </c>
      <c r="E347" s="14">
        <v>598.682905982906</v>
      </c>
      <c r="F347" s="15" t="s">
        <v>172</v>
      </c>
      <c r="G347" s="12" t="s">
        <v>173</v>
      </c>
    </row>
    <row r="348" ht="15.75" spans="1:7">
      <c r="A348" s="12">
        <v>347</v>
      </c>
      <c r="B348" s="12">
        <v>6</v>
      </c>
      <c r="C348" s="25">
        <v>1</v>
      </c>
      <c r="D348" s="14">
        <v>1255.64230769231</v>
      </c>
      <c r="E348" s="14">
        <v>529.702564102564</v>
      </c>
      <c r="F348" s="15" t="s">
        <v>173</v>
      </c>
      <c r="G348" s="12" t="s">
        <v>173</v>
      </c>
    </row>
    <row r="349" ht="15.75" spans="1:7">
      <c r="A349" s="12">
        <v>348</v>
      </c>
      <c r="B349" s="12">
        <v>6</v>
      </c>
      <c r="C349" s="25">
        <v>1</v>
      </c>
      <c r="D349" s="14">
        <v>1297.63034188034</v>
      </c>
      <c r="E349" s="14">
        <v>502.710256410256</v>
      </c>
      <c r="F349" s="15" t="s">
        <v>173</v>
      </c>
      <c r="G349" s="12" t="s">
        <v>173</v>
      </c>
    </row>
    <row r="350" ht="15.75" spans="1:7">
      <c r="A350" s="12">
        <v>349</v>
      </c>
      <c r="B350" s="12">
        <v>6</v>
      </c>
      <c r="C350" s="25">
        <v>2</v>
      </c>
      <c r="D350" s="14">
        <v>1351.61495726496</v>
      </c>
      <c r="E350" s="14">
        <v>565.692307692308</v>
      </c>
      <c r="F350" s="15" t="s">
        <v>173</v>
      </c>
      <c r="G350" s="12" t="s">
        <v>174</v>
      </c>
    </row>
    <row r="351" ht="15.75" spans="1:7">
      <c r="A351" s="12">
        <v>350</v>
      </c>
      <c r="B351" s="12">
        <v>6</v>
      </c>
      <c r="C351" s="25">
        <v>1</v>
      </c>
      <c r="D351" s="14">
        <v>1393.60299145299</v>
      </c>
      <c r="E351" s="14">
        <v>520.705128205128</v>
      </c>
      <c r="F351" s="15" t="s">
        <v>174</v>
      </c>
      <c r="G351" s="12" t="s">
        <v>174</v>
      </c>
    </row>
    <row r="352" ht="15.75" spans="1:7">
      <c r="A352" s="12">
        <v>351</v>
      </c>
      <c r="B352" s="12">
        <v>6</v>
      </c>
      <c r="C352" s="25">
        <v>1</v>
      </c>
      <c r="D352" s="14">
        <v>1390.60384615385</v>
      </c>
      <c r="E352" s="14">
        <v>427.731623931624</v>
      </c>
      <c r="F352" s="15" t="s">
        <v>174</v>
      </c>
      <c r="G352" s="12" t="s">
        <v>174</v>
      </c>
    </row>
    <row r="353" ht="15.75" spans="1:7">
      <c r="A353" s="12">
        <v>352</v>
      </c>
      <c r="B353" s="12">
        <v>6</v>
      </c>
      <c r="C353" s="25">
        <v>1</v>
      </c>
      <c r="D353" s="14">
        <v>1291.63205128205</v>
      </c>
      <c r="E353" s="14">
        <v>358.751282051282</v>
      </c>
      <c r="F353" s="15" t="s">
        <v>174</v>
      </c>
      <c r="G353" s="12" t="s">
        <v>174</v>
      </c>
    </row>
    <row r="354" ht="15.75" spans="1:7">
      <c r="A354" s="12">
        <v>353</v>
      </c>
      <c r="B354" s="12">
        <v>6</v>
      </c>
      <c r="C354" s="25">
        <v>1</v>
      </c>
      <c r="D354" s="14">
        <v>1252.64316239316</v>
      </c>
      <c r="E354" s="14">
        <v>316.763247863248</v>
      </c>
      <c r="F354" s="15" t="s">
        <v>174</v>
      </c>
      <c r="G354" s="12" t="s">
        <v>174</v>
      </c>
    </row>
    <row r="355" ht="15.75" spans="1:7">
      <c r="A355" s="12">
        <v>354</v>
      </c>
      <c r="B355" s="12">
        <v>6</v>
      </c>
      <c r="C355" s="25">
        <v>1</v>
      </c>
      <c r="D355" s="14">
        <v>1318.62435897436</v>
      </c>
      <c r="E355" s="14">
        <v>289.77094017094</v>
      </c>
      <c r="F355" s="15" t="s">
        <v>174</v>
      </c>
      <c r="G355" s="12" t="s">
        <v>175</v>
      </c>
    </row>
    <row r="356" ht="15.75" spans="1:7">
      <c r="A356" s="12">
        <v>355</v>
      </c>
      <c r="B356" s="12">
        <v>6</v>
      </c>
      <c r="C356" s="25">
        <v>2</v>
      </c>
      <c r="D356" s="14">
        <v>1396.60213675214</v>
      </c>
      <c r="E356" s="14">
        <v>304.766666666666</v>
      </c>
      <c r="F356" s="15" t="s">
        <v>175</v>
      </c>
      <c r="G356" s="12" t="s">
        <v>175</v>
      </c>
    </row>
    <row r="357" ht="15.75" spans="1:7">
      <c r="A357" s="12">
        <v>356</v>
      </c>
      <c r="B357" s="12">
        <v>6</v>
      </c>
      <c r="C357" s="25">
        <v>1</v>
      </c>
      <c r="D357" s="14">
        <v>1480.57820512821</v>
      </c>
      <c r="E357" s="14">
        <v>289.77094017094</v>
      </c>
      <c r="F357" s="15" t="s">
        <v>175</v>
      </c>
      <c r="G357" s="12" t="s">
        <v>176</v>
      </c>
    </row>
    <row r="358" ht="15.75" spans="1:7">
      <c r="A358" s="12">
        <v>357</v>
      </c>
      <c r="B358" s="12">
        <v>6</v>
      </c>
      <c r="C358" s="25">
        <v>2</v>
      </c>
      <c r="D358" s="14">
        <v>1612.5405982906</v>
      </c>
      <c r="E358" s="14">
        <v>382.744444444444</v>
      </c>
      <c r="F358" s="15" t="s">
        <v>176</v>
      </c>
      <c r="G358" s="12" t="s">
        <v>176</v>
      </c>
    </row>
    <row r="359" ht="15.75" spans="1:7">
      <c r="A359" s="12">
        <v>358</v>
      </c>
      <c r="B359" s="12">
        <v>6</v>
      </c>
      <c r="C359" s="25">
        <v>1</v>
      </c>
      <c r="D359" s="14">
        <v>1861.46965811966</v>
      </c>
      <c r="E359" s="14">
        <v>415.735042735043</v>
      </c>
      <c r="F359" s="15" t="s">
        <v>176</v>
      </c>
      <c r="G359" s="12" t="s">
        <v>177</v>
      </c>
    </row>
    <row r="360" ht="15.75" spans="1:7">
      <c r="A360" s="12">
        <v>359</v>
      </c>
      <c r="B360" s="12">
        <v>6</v>
      </c>
      <c r="C360" s="25">
        <v>2</v>
      </c>
      <c r="D360" s="14">
        <v>1918.45341880342</v>
      </c>
      <c r="E360" s="14">
        <v>340.75641025641</v>
      </c>
      <c r="F360" s="15" t="s">
        <v>177</v>
      </c>
      <c r="G360" s="12" t="s">
        <v>177</v>
      </c>
    </row>
    <row r="361" ht="15.75" spans="1:7">
      <c r="A361" s="12">
        <v>360</v>
      </c>
      <c r="B361" s="12">
        <v>6</v>
      </c>
      <c r="C361" s="25">
        <v>1</v>
      </c>
      <c r="D361" s="14">
        <v>2035.42008547009</v>
      </c>
      <c r="E361" s="14">
        <v>277.774358974359</v>
      </c>
      <c r="F361" s="15" t="s">
        <v>177</v>
      </c>
      <c r="G361" s="12" t="s">
        <v>178</v>
      </c>
    </row>
    <row r="362" ht="15.75" spans="1:7">
      <c r="A362" s="12">
        <v>361</v>
      </c>
      <c r="B362" s="12">
        <v>6</v>
      </c>
      <c r="C362" s="25">
        <v>1</v>
      </c>
      <c r="D362" s="14">
        <v>2257.35683760684</v>
      </c>
      <c r="E362" s="14">
        <v>376.746153846153</v>
      </c>
      <c r="F362" s="15" t="s">
        <v>178</v>
      </c>
      <c r="G362" s="12" t="s">
        <v>178</v>
      </c>
    </row>
    <row r="363" ht="15.75" spans="1:7">
      <c r="A363" s="12">
        <v>362</v>
      </c>
      <c r="B363" s="12">
        <v>6</v>
      </c>
      <c r="C363" s="25">
        <v>1</v>
      </c>
      <c r="D363" s="14">
        <v>2161.38418803419</v>
      </c>
      <c r="E363" s="14">
        <v>388.742735042735</v>
      </c>
      <c r="F363" s="15" t="s">
        <v>178</v>
      </c>
      <c r="G363" s="12" t="s">
        <v>178</v>
      </c>
    </row>
    <row r="364" ht="15.75" spans="1:7">
      <c r="A364" s="12">
        <v>363</v>
      </c>
      <c r="B364" s="12">
        <v>6</v>
      </c>
      <c r="C364" s="25">
        <v>1</v>
      </c>
      <c r="D364" s="14">
        <v>2125.39444444445</v>
      </c>
      <c r="E364" s="14">
        <v>472.718803418803</v>
      </c>
      <c r="F364" s="15" t="s">
        <v>178</v>
      </c>
      <c r="G364" s="12" t="s">
        <v>178</v>
      </c>
    </row>
    <row r="365" ht="15.75" spans="1:7">
      <c r="A365" s="12">
        <v>364</v>
      </c>
      <c r="B365" s="12">
        <v>6</v>
      </c>
      <c r="C365" s="25">
        <v>1</v>
      </c>
      <c r="D365" s="14">
        <v>2167.38247863248</v>
      </c>
      <c r="E365" s="14">
        <v>469.719658119658</v>
      </c>
      <c r="F365" s="15" t="s">
        <v>178</v>
      </c>
      <c r="G365" s="12" t="s">
        <v>178</v>
      </c>
    </row>
    <row r="366" ht="15.75" spans="1:7">
      <c r="A366" s="12">
        <v>365</v>
      </c>
      <c r="B366" s="12">
        <v>6</v>
      </c>
      <c r="C366" s="25">
        <v>2</v>
      </c>
      <c r="D366" s="14">
        <v>2212.36965811966</v>
      </c>
      <c r="E366" s="14">
        <v>499.711111111111</v>
      </c>
      <c r="F366" s="15" t="s">
        <v>178</v>
      </c>
      <c r="G366" s="12" t="s">
        <v>179</v>
      </c>
    </row>
    <row r="367" ht="15.75" spans="1:7">
      <c r="A367" s="12">
        <v>366</v>
      </c>
      <c r="B367" s="12">
        <v>6</v>
      </c>
      <c r="C367" s="25">
        <v>2</v>
      </c>
      <c r="D367" s="14">
        <v>2122.3952991453</v>
      </c>
      <c r="E367" s="14">
        <v>904.595726495726</v>
      </c>
      <c r="F367" s="15" t="s">
        <v>179</v>
      </c>
      <c r="G367" s="12" t="s">
        <v>179</v>
      </c>
    </row>
    <row r="368" ht="15.75" spans="1:7">
      <c r="A368" s="12">
        <v>367</v>
      </c>
      <c r="B368" s="12">
        <v>6</v>
      </c>
      <c r="C368" s="25">
        <v>1</v>
      </c>
      <c r="D368" s="14">
        <v>2197.37393162393</v>
      </c>
      <c r="E368" s="14">
        <v>1321.47692307692</v>
      </c>
      <c r="F368" s="15" t="s">
        <v>179</v>
      </c>
      <c r="G368" s="12" t="s">
        <v>179</v>
      </c>
    </row>
    <row r="369" ht="15.75" spans="1:7">
      <c r="A369" s="12">
        <v>368</v>
      </c>
      <c r="B369" s="12">
        <v>6</v>
      </c>
      <c r="C369" s="25">
        <v>1</v>
      </c>
      <c r="D369" s="14">
        <v>2275.35170940171</v>
      </c>
      <c r="E369" s="14">
        <v>1321.47692307692</v>
      </c>
      <c r="F369" s="15" t="s">
        <v>179</v>
      </c>
      <c r="G369" s="12" t="s">
        <v>179</v>
      </c>
    </row>
    <row r="370" ht="15.75" spans="1:7">
      <c r="A370" s="12">
        <v>369</v>
      </c>
      <c r="B370" s="12">
        <v>6</v>
      </c>
      <c r="C370" s="25">
        <v>1</v>
      </c>
      <c r="D370" s="14">
        <v>2290.34743589744</v>
      </c>
      <c r="E370" s="14">
        <v>1252.49658119658</v>
      </c>
      <c r="F370" s="15" t="s">
        <v>179</v>
      </c>
      <c r="G370" s="12" t="s">
        <v>179</v>
      </c>
    </row>
    <row r="371" ht="15.75" spans="1:7">
      <c r="A371" s="12">
        <v>370</v>
      </c>
      <c r="B371" s="12">
        <v>6</v>
      </c>
      <c r="C371" s="25">
        <v>1</v>
      </c>
      <c r="D371" s="14">
        <v>2287.34829059829</v>
      </c>
      <c r="E371" s="14">
        <v>1201.51111111111</v>
      </c>
      <c r="F371" s="15" t="s">
        <v>179</v>
      </c>
      <c r="G371" s="12" t="s">
        <v>180</v>
      </c>
    </row>
    <row r="372" ht="15.75" spans="1:7">
      <c r="A372" s="12">
        <v>371</v>
      </c>
      <c r="B372" s="12">
        <v>6</v>
      </c>
      <c r="C372" s="25">
        <v>1</v>
      </c>
      <c r="D372" s="14">
        <v>2257.35683760684</v>
      </c>
      <c r="E372" s="14">
        <v>1189.51452991453</v>
      </c>
      <c r="F372" s="15" t="s">
        <v>180</v>
      </c>
      <c r="G372" s="12" t="s">
        <v>181</v>
      </c>
    </row>
    <row r="373" ht="15.75" spans="1:7">
      <c r="A373" s="12">
        <v>372</v>
      </c>
      <c r="B373" s="12">
        <v>6</v>
      </c>
      <c r="C373" s="25">
        <v>1</v>
      </c>
      <c r="D373" s="14">
        <v>2197.37393162393</v>
      </c>
      <c r="E373" s="14">
        <v>1114.5358974359</v>
      </c>
      <c r="F373" s="15" t="s">
        <v>181</v>
      </c>
      <c r="G373" s="12" t="s">
        <v>181</v>
      </c>
    </row>
    <row r="374" ht="15.75" spans="1:7">
      <c r="A374" s="12">
        <v>373</v>
      </c>
      <c r="B374" s="12">
        <v>6</v>
      </c>
      <c r="C374" s="25">
        <v>1</v>
      </c>
      <c r="D374" s="14">
        <v>2209.37051282051</v>
      </c>
      <c r="E374" s="14">
        <v>1012.56495726496</v>
      </c>
      <c r="F374" s="15" t="s">
        <v>181</v>
      </c>
      <c r="G374" s="12" t="s">
        <v>182</v>
      </c>
    </row>
    <row r="375" ht="15.75" spans="1:7">
      <c r="A375" s="12">
        <v>374</v>
      </c>
      <c r="B375" s="12">
        <v>6</v>
      </c>
      <c r="C375" s="25">
        <v>1</v>
      </c>
      <c r="D375" s="14">
        <v>2191.37564102564</v>
      </c>
      <c r="E375" s="14">
        <v>1063.55042735043</v>
      </c>
      <c r="F375" s="15" t="s">
        <v>182</v>
      </c>
      <c r="G375" s="12" t="s">
        <v>183</v>
      </c>
    </row>
    <row r="376" ht="15.75" spans="1:7">
      <c r="A376" s="12">
        <v>375</v>
      </c>
      <c r="B376" s="12">
        <v>6</v>
      </c>
      <c r="C376" s="25">
        <v>2</v>
      </c>
      <c r="D376" s="14">
        <v>2170.38162393162</v>
      </c>
      <c r="E376" s="14">
        <v>1288.48632478632</v>
      </c>
      <c r="F376" s="15" t="s">
        <v>183</v>
      </c>
      <c r="G376" s="12" t="s">
        <v>183</v>
      </c>
    </row>
    <row r="377" ht="15.75" spans="1:7">
      <c r="A377" s="12">
        <v>376</v>
      </c>
      <c r="B377" s="12">
        <v>6</v>
      </c>
      <c r="C377" s="25">
        <v>2</v>
      </c>
      <c r="D377" s="14">
        <v>2050.41581196581</v>
      </c>
      <c r="E377" s="14">
        <v>1285.48717948718</v>
      </c>
      <c r="F377" s="15" t="s">
        <v>183</v>
      </c>
      <c r="G377" s="12">
        <v>15.18</v>
      </c>
    </row>
    <row r="378" ht="15.75" spans="1:7">
      <c r="A378" s="12">
        <v>377</v>
      </c>
      <c r="B378" s="12">
        <v>7</v>
      </c>
      <c r="C378" s="26">
        <v>3</v>
      </c>
      <c r="D378" s="14">
        <v>1894.46025641026</v>
      </c>
      <c r="E378" s="14">
        <v>2221.22051282051</v>
      </c>
      <c r="F378" s="15" t="s">
        <v>184</v>
      </c>
      <c r="G378" s="12" t="s">
        <v>185</v>
      </c>
    </row>
    <row r="379" ht="15.75" spans="1:7">
      <c r="A379" s="12">
        <v>378</v>
      </c>
      <c r="B379" s="12">
        <v>7</v>
      </c>
      <c r="C379" s="25">
        <v>2</v>
      </c>
      <c r="D379" s="14">
        <v>1672.5235042735</v>
      </c>
      <c r="E379" s="14">
        <v>1633.38803418803</v>
      </c>
      <c r="F379" s="28" t="s">
        <v>185</v>
      </c>
      <c r="G379" s="12" t="s">
        <v>68</v>
      </c>
    </row>
    <row r="380" ht="15.75" spans="1:7">
      <c r="A380" s="12">
        <v>379</v>
      </c>
      <c r="B380" s="12">
        <v>7</v>
      </c>
      <c r="C380" s="25">
        <v>1</v>
      </c>
      <c r="D380" s="14">
        <v>1747.50213675214</v>
      </c>
      <c r="E380" s="14">
        <v>1492.42820512821</v>
      </c>
      <c r="F380" s="15" t="s">
        <v>68</v>
      </c>
      <c r="G380" s="12" t="s">
        <v>186</v>
      </c>
    </row>
    <row r="381" ht="15.75" spans="1:7">
      <c r="A381" s="12">
        <v>380</v>
      </c>
      <c r="B381" s="12">
        <v>7</v>
      </c>
      <c r="C381" s="25">
        <v>1</v>
      </c>
      <c r="D381" s="14">
        <v>1741.50384615385</v>
      </c>
      <c r="E381" s="14">
        <v>1351.46837606838</v>
      </c>
      <c r="F381" s="16" t="s">
        <v>186</v>
      </c>
      <c r="G381" s="12" t="s">
        <v>70</v>
      </c>
    </row>
    <row r="382" ht="15.75" spans="1:7">
      <c r="A382" s="12">
        <v>381</v>
      </c>
      <c r="B382" s="12">
        <v>7</v>
      </c>
      <c r="C382" s="25">
        <v>1</v>
      </c>
      <c r="D382" s="14">
        <v>1669.52435897436</v>
      </c>
      <c r="E382" s="14">
        <v>1282.48803418803</v>
      </c>
      <c r="F382" s="16" t="s">
        <v>70</v>
      </c>
      <c r="G382" s="12" t="s">
        <v>70</v>
      </c>
    </row>
    <row r="383" ht="15.75" spans="1:7">
      <c r="A383" s="12">
        <v>382</v>
      </c>
      <c r="B383" s="12">
        <v>7</v>
      </c>
      <c r="C383" s="25">
        <v>2</v>
      </c>
      <c r="D383" s="14">
        <v>1507.57051282051</v>
      </c>
      <c r="E383" s="14">
        <v>1282.48803418803</v>
      </c>
      <c r="F383" s="16" t="s">
        <v>70</v>
      </c>
      <c r="G383" s="12" t="s">
        <v>71</v>
      </c>
    </row>
    <row r="384" ht="15.75" spans="1:7">
      <c r="A384" s="12">
        <v>383</v>
      </c>
      <c r="B384" s="12">
        <v>7</v>
      </c>
      <c r="C384" s="25">
        <v>1</v>
      </c>
      <c r="D384" s="14">
        <v>1396.60213675214</v>
      </c>
      <c r="E384" s="14">
        <v>1282.48803418803</v>
      </c>
      <c r="F384" s="15" t="s">
        <v>71</v>
      </c>
      <c r="G384" s="12" t="s">
        <v>71</v>
      </c>
    </row>
    <row r="385" ht="15.75" spans="1:7">
      <c r="A385" s="12">
        <v>384</v>
      </c>
      <c r="B385" s="12">
        <v>7</v>
      </c>
      <c r="C385" s="25">
        <v>2</v>
      </c>
      <c r="D385" s="14">
        <v>1390.60384615385</v>
      </c>
      <c r="E385" s="14">
        <v>1246.49829059829</v>
      </c>
      <c r="F385" s="16" t="s">
        <v>71</v>
      </c>
      <c r="G385" s="12" t="s">
        <v>141</v>
      </c>
    </row>
    <row r="386" ht="15.75" spans="1:7">
      <c r="A386" s="12">
        <v>385</v>
      </c>
      <c r="B386" s="12">
        <v>7</v>
      </c>
      <c r="C386" s="25">
        <v>1</v>
      </c>
      <c r="D386" s="14">
        <v>1348.61581196581</v>
      </c>
      <c r="E386" s="14">
        <v>1210.50854700855</v>
      </c>
      <c r="F386" s="16" t="s">
        <v>141</v>
      </c>
      <c r="G386" s="12" t="s">
        <v>73</v>
      </c>
    </row>
    <row r="387" ht="15.75" spans="1:7">
      <c r="A387" s="12">
        <v>386</v>
      </c>
      <c r="B387" s="12">
        <v>7</v>
      </c>
      <c r="C387" s="25">
        <v>1</v>
      </c>
      <c r="D387" s="14">
        <v>1315.62521367521</v>
      </c>
      <c r="E387" s="14">
        <v>1261.49401709402</v>
      </c>
      <c r="F387" s="16" t="s">
        <v>73</v>
      </c>
      <c r="G387" s="12" t="s">
        <v>74</v>
      </c>
    </row>
    <row r="388" ht="15.75" spans="1:7">
      <c r="A388" s="12">
        <v>387</v>
      </c>
      <c r="B388" s="12">
        <v>7</v>
      </c>
      <c r="C388" s="25">
        <v>1</v>
      </c>
      <c r="D388" s="14">
        <v>1231.64914529915</v>
      </c>
      <c r="E388" s="14">
        <v>1288.48632478632</v>
      </c>
      <c r="F388" s="16" t="s">
        <v>74</v>
      </c>
      <c r="G388" s="12" t="s">
        <v>75</v>
      </c>
    </row>
    <row r="389" ht="15.75" spans="1:7">
      <c r="A389" s="12">
        <v>388</v>
      </c>
      <c r="B389" s="12">
        <v>7</v>
      </c>
      <c r="C389" s="25">
        <v>1</v>
      </c>
      <c r="D389" s="14">
        <v>1201.65769230769</v>
      </c>
      <c r="E389" s="14">
        <v>1225.50427350427</v>
      </c>
      <c r="F389" s="16" t="s">
        <v>75</v>
      </c>
      <c r="G389" s="12" t="s">
        <v>75</v>
      </c>
    </row>
    <row r="390" ht="15.75" spans="1:7">
      <c r="A390" s="12">
        <v>389</v>
      </c>
      <c r="B390" s="12">
        <v>7</v>
      </c>
      <c r="C390" s="25">
        <v>1</v>
      </c>
      <c r="D390" s="14">
        <v>1207.65598290598</v>
      </c>
      <c r="E390" s="14">
        <v>1069.54871794872</v>
      </c>
      <c r="F390" s="15" t="s">
        <v>75</v>
      </c>
      <c r="G390" s="12" t="s">
        <v>76</v>
      </c>
    </row>
    <row r="391" ht="15.75" spans="1:7">
      <c r="A391" s="12">
        <v>390</v>
      </c>
      <c r="B391" s="12">
        <v>7</v>
      </c>
      <c r="C391" s="25">
        <v>1</v>
      </c>
      <c r="D391" s="14">
        <v>1315.62521367521</v>
      </c>
      <c r="E391" s="14">
        <v>964.578632478633</v>
      </c>
      <c r="F391" s="16" t="s">
        <v>76</v>
      </c>
      <c r="G391" s="12" t="s">
        <v>76</v>
      </c>
    </row>
    <row r="392" ht="15.75" spans="1:7">
      <c r="A392" s="12">
        <v>391</v>
      </c>
      <c r="B392" s="12">
        <v>7</v>
      </c>
      <c r="C392" s="25">
        <v>1</v>
      </c>
      <c r="D392" s="14">
        <v>1390.60384615385</v>
      </c>
      <c r="E392" s="14">
        <v>889.6</v>
      </c>
      <c r="F392" s="16" t="s">
        <v>76</v>
      </c>
      <c r="G392" s="12" t="s">
        <v>78</v>
      </c>
    </row>
    <row r="393" ht="15.75" spans="1:7">
      <c r="A393" s="12">
        <v>392</v>
      </c>
      <c r="B393" s="12">
        <v>7</v>
      </c>
      <c r="C393" s="25">
        <v>1</v>
      </c>
      <c r="D393" s="14">
        <v>1390.60384615385</v>
      </c>
      <c r="E393" s="14">
        <v>835.615384615385</v>
      </c>
      <c r="F393" s="16" t="s">
        <v>78</v>
      </c>
      <c r="G393" s="12" t="s">
        <v>79</v>
      </c>
    </row>
    <row r="394" ht="15.75" spans="1:7">
      <c r="A394" s="12">
        <v>393</v>
      </c>
      <c r="B394" s="12">
        <v>7</v>
      </c>
      <c r="C394" s="25">
        <v>2</v>
      </c>
      <c r="D394" s="14">
        <v>1387.6047008547</v>
      </c>
      <c r="E394" s="14">
        <v>712.650427350427</v>
      </c>
      <c r="F394" s="16" t="s">
        <v>79</v>
      </c>
      <c r="G394" s="12" t="s">
        <v>80</v>
      </c>
    </row>
    <row r="395" ht="15.75" spans="1:7">
      <c r="A395" s="12">
        <v>394</v>
      </c>
      <c r="B395" s="12">
        <v>7</v>
      </c>
      <c r="C395" s="25">
        <v>1</v>
      </c>
      <c r="D395" s="14">
        <v>1354.6141025641</v>
      </c>
      <c r="E395" s="14">
        <v>616.677777777778</v>
      </c>
      <c r="F395" s="16" t="s">
        <v>80</v>
      </c>
      <c r="G395" s="12" t="s">
        <v>80</v>
      </c>
    </row>
    <row r="396" ht="15.75" spans="1:7">
      <c r="A396" s="12">
        <v>395</v>
      </c>
      <c r="B396" s="12">
        <v>7</v>
      </c>
      <c r="C396" s="25">
        <v>4</v>
      </c>
      <c r="D396" s="14">
        <v>1282.63461538462</v>
      </c>
      <c r="E396" s="14">
        <v>643.670085470085</v>
      </c>
      <c r="F396" s="15" t="s">
        <v>80</v>
      </c>
      <c r="G396" s="12" t="s">
        <v>81</v>
      </c>
    </row>
    <row r="397" ht="15.75" spans="1:7">
      <c r="A397" s="12">
        <v>396</v>
      </c>
      <c r="B397" s="12">
        <v>7</v>
      </c>
      <c r="C397" s="25">
        <v>1</v>
      </c>
      <c r="D397" s="14">
        <v>1207.65598290598</v>
      </c>
      <c r="E397" s="14">
        <v>649.668376068376</v>
      </c>
      <c r="F397" s="16" t="s">
        <v>81</v>
      </c>
      <c r="G397" s="12" t="s">
        <v>82</v>
      </c>
    </row>
    <row r="398" ht="15.75" spans="1:7">
      <c r="A398" s="12">
        <v>397</v>
      </c>
      <c r="B398" s="12">
        <v>7</v>
      </c>
      <c r="C398" s="25">
        <v>1</v>
      </c>
      <c r="D398" s="14">
        <v>1162.6688034188</v>
      </c>
      <c r="E398" s="14">
        <v>679.659829059829</v>
      </c>
      <c r="F398" s="16" t="s">
        <v>82</v>
      </c>
      <c r="G398" s="12" t="s">
        <v>83</v>
      </c>
    </row>
    <row r="399" ht="15.75" spans="1:7">
      <c r="A399" s="12">
        <v>398</v>
      </c>
      <c r="B399" s="12">
        <v>7</v>
      </c>
      <c r="C399" s="25">
        <v>1</v>
      </c>
      <c r="D399" s="14">
        <v>1186.66196581197</v>
      </c>
      <c r="E399" s="14">
        <v>577.688888888889</v>
      </c>
      <c r="F399" s="16" t="s">
        <v>83</v>
      </c>
      <c r="G399" s="12" t="s">
        <v>84</v>
      </c>
    </row>
    <row r="400" ht="15.75" spans="1:7">
      <c r="A400" s="12">
        <v>399</v>
      </c>
      <c r="B400" s="12">
        <v>7</v>
      </c>
      <c r="C400" s="25">
        <v>1</v>
      </c>
      <c r="D400" s="14">
        <v>1267.63888888889</v>
      </c>
      <c r="E400" s="14">
        <v>547.697435897436</v>
      </c>
      <c r="F400" s="16" t="s">
        <v>84</v>
      </c>
      <c r="G400" s="12" t="s">
        <v>85</v>
      </c>
    </row>
    <row r="401" ht="15.75" spans="1:7">
      <c r="A401" s="12">
        <v>400</v>
      </c>
      <c r="B401" s="12">
        <v>7</v>
      </c>
      <c r="C401" s="25">
        <v>1</v>
      </c>
      <c r="D401" s="14">
        <v>1231.64914529915</v>
      </c>
      <c r="E401" s="14">
        <v>415.735042735043</v>
      </c>
      <c r="F401" s="16" t="s">
        <v>85</v>
      </c>
      <c r="G401" s="12" t="s">
        <v>86</v>
      </c>
    </row>
    <row r="402" ht="15.75" spans="1:7">
      <c r="A402" s="12">
        <v>401</v>
      </c>
      <c r="B402" s="12">
        <v>7</v>
      </c>
      <c r="C402" s="25">
        <v>1</v>
      </c>
      <c r="D402" s="14">
        <v>1240.64658119658</v>
      </c>
      <c r="E402" s="14">
        <v>304.766666666666</v>
      </c>
      <c r="F402" s="16" t="s">
        <v>86</v>
      </c>
      <c r="G402" s="12" t="s">
        <v>142</v>
      </c>
    </row>
    <row r="403" ht="15.75" spans="1:7">
      <c r="A403" s="12">
        <v>402</v>
      </c>
      <c r="B403" s="12">
        <v>7</v>
      </c>
      <c r="C403" s="25">
        <v>2</v>
      </c>
      <c r="D403" s="14">
        <v>1318.62435897436</v>
      </c>
      <c r="E403" s="14">
        <v>436.72905982906</v>
      </c>
      <c r="F403" s="16" t="s">
        <v>142</v>
      </c>
      <c r="G403" s="12" t="s">
        <v>87</v>
      </c>
    </row>
    <row r="404" ht="15.75" spans="1:7">
      <c r="A404" s="12">
        <v>403</v>
      </c>
      <c r="B404" s="12">
        <v>7</v>
      </c>
      <c r="C404" s="25">
        <v>1</v>
      </c>
      <c r="D404" s="14">
        <v>1342.61752136752</v>
      </c>
      <c r="E404" s="14">
        <v>331.758974358974</v>
      </c>
      <c r="F404" s="16" t="s">
        <v>87</v>
      </c>
      <c r="G404" s="12" t="s">
        <v>87</v>
      </c>
    </row>
    <row r="405" ht="15.75" spans="1:7">
      <c r="A405" s="12">
        <v>404</v>
      </c>
      <c r="B405" s="12">
        <v>7</v>
      </c>
      <c r="C405" s="25">
        <v>2</v>
      </c>
      <c r="D405" s="14">
        <v>1567.55341880342</v>
      </c>
      <c r="E405" s="14">
        <v>304.766666666666</v>
      </c>
      <c r="F405" s="16" t="s">
        <v>87</v>
      </c>
      <c r="G405" s="12" t="s">
        <v>88</v>
      </c>
    </row>
    <row r="406" ht="15.75" spans="1:7">
      <c r="A406" s="12">
        <v>405</v>
      </c>
      <c r="B406" s="12">
        <v>7</v>
      </c>
      <c r="C406" s="25">
        <v>1</v>
      </c>
      <c r="D406" s="14">
        <v>2131.39273504274</v>
      </c>
      <c r="E406" s="14">
        <v>292.770085470085</v>
      </c>
      <c r="F406" s="16" t="s">
        <v>88</v>
      </c>
      <c r="G406" s="12" t="s">
        <v>89</v>
      </c>
    </row>
    <row r="407" ht="15.75" spans="1:7">
      <c r="A407" s="12">
        <v>406</v>
      </c>
      <c r="B407" s="12">
        <v>7</v>
      </c>
      <c r="C407" s="25">
        <v>1</v>
      </c>
      <c r="D407" s="14">
        <v>2317.33974358974</v>
      </c>
      <c r="E407" s="14">
        <v>340.75641025641</v>
      </c>
      <c r="F407" s="16" t="s">
        <v>89</v>
      </c>
      <c r="G407" s="12" t="s">
        <v>90</v>
      </c>
    </row>
    <row r="408" ht="15.75" spans="1:7">
      <c r="A408" s="12">
        <v>407</v>
      </c>
      <c r="B408" s="12">
        <v>7</v>
      </c>
      <c r="C408" s="25">
        <v>1</v>
      </c>
      <c r="D408" s="14">
        <v>2152.38675213675</v>
      </c>
      <c r="E408" s="14">
        <v>478.717094017094</v>
      </c>
      <c r="F408" s="16" t="s">
        <v>90</v>
      </c>
      <c r="G408" s="12" t="s">
        <v>90</v>
      </c>
    </row>
    <row r="409" ht="15.75" spans="1:7">
      <c r="A409" s="12">
        <v>408</v>
      </c>
      <c r="B409" s="12">
        <v>7</v>
      </c>
      <c r="C409" s="25">
        <v>1</v>
      </c>
      <c r="D409" s="14">
        <v>2155.3858974359</v>
      </c>
      <c r="E409" s="14">
        <v>550.696581196581</v>
      </c>
      <c r="F409" s="16" t="s">
        <v>90</v>
      </c>
      <c r="G409" s="12" t="s">
        <v>90</v>
      </c>
    </row>
    <row r="410" ht="15.75" spans="1:7">
      <c r="A410" s="12">
        <v>409</v>
      </c>
      <c r="B410" s="12">
        <v>7</v>
      </c>
      <c r="C410" s="25">
        <v>4</v>
      </c>
      <c r="D410" s="14">
        <v>2221.3670940171</v>
      </c>
      <c r="E410" s="14">
        <v>562.693162393162</v>
      </c>
      <c r="F410" s="16" t="s">
        <v>90</v>
      </c>
      <c r="G410" s="12" t="s">
        <v>91</v>
      </c>
    </row>
    <row r="411" ht="15.75" spans="1:7">
      <c r="A411" s="12">
        <v>410</v>
      </c>
      <c r="B411" s="12">
        <v>7</v>
      </c>
      <c r="C411" s="25">
        <v>2</v>
      </c>
      <c r="D411" s="14">
        <v>2332.33547008547</v>
      </c>
      <c r="E411" s="14">
        <v>505.709401709401</v>
      </c>
      <c r="F411" s="16" t="s">
        <v>91</v>
      </c>
      <c r="G411" s="12" t="s">
        <v>91</v>
      </c>
    </row>
    <row r="412" ht="15.75" spans="1:7">
      <c r="A412" s="12">
        <v>411</v>
      </c>
      <c r="B412" s="12">
        <v>7</v>
      </c>
      <c r="C412" s="25">
        <v>1</v>
      </c>
      <c r="D412" s="14">
        <v>2335.33461538462</v>
      </c>
      <c r="E412" s="14">
        <v>544.69829059829</v>
      </c>
      <c r="F412" s="16" t="s">
        <v>91</v>
      </c>
      <c r="G412" s="12" t="s">
        <v>92</v>
      </c>
    </row>
    <row r="413" ht="15.75" spans="1:7">
      <c r="A413" s="12">
        <v>412</v>
      </c>
      <c r="B413" s="12">
        <v>7</v>
      </c>
      <c r="C413" s="25">
        <v>1</v>
      </c>
      <c r="D413" s="14">
        <v>2332.33547008547</v>
      </c>
      <c r="E413" s="14">
        <v>622.676068376068</v>
      </c>
      <c r="F413" s="16" t="s">
        <v>92</v>
      </c>
      <c r="G413" s="12" t="s">
        <v>93</v>
      </c>
    </row>
    <row r="414" ht="15.75" spans="1:7">
      <c r="A414" s="12">
        <v>413</v>
      </c>
      <c r="B414" s="12">
        <v>7</v>
      </c>
      <c r="C414" s="25">
        <v>1</v>
      </c>
      <c r="D414" s="14">
        <v>2272.35256410256</v>
      </c>
      <c r="E414" s="14">
        <v>634.672649572649</v>
      </c>
      <c r="F414" s="16" t="s">
        <v>93</v>
      </c>
      <c r="G414" s="12" t="s">
        <v>93</v>
      </c>
    </row>
    <row r="415" ht="15.75" spans="1:7">
      <c r="A415" s="12">
        <v>414</v>
      </c>
      <c r="B415" s="12">
        <v>7</v>
      </c>
      <c r="C415" s="25">
        <v>1</v>
      </c>
      <c r="D415" s="14">
        <v>2167.38247863248</v>
      </c>
      <c r="E415" s="14">
        <v>634.672649572649</v>
      </c>
      <c r="F415" s="16" t="s">
        <v>93</v>
      </c>
      <c r="G415" s="12" t="s">
        <v>94</v>
      </c>
    </row>
    <row r="416" ht="15.75" spans="1:7">
      <c r="A416" s="12">
        <v>415</v>
      </c>
      <c r="B416" s="12">
        <v>7</v>
      </c>
      <c r="C416" s="25">
        <v>2</v>
      </c>
      <c r="D416" s="14">
        <v>2158.38504273504</v>
      </c>
      <c r="E416" s="14">
        <v>751.639316239316</v>
      </c>
      <c r="F416" s="16" t="s">
        <v>94</v>
      </c>
      <c r="G416" s="12" t="s">
        <v>94</v>
      </c>
    </row>
    <row r="417" ht="15.75" spans="1:7">
      <c r="A417" s="12">
        <v>416</v>
      </c>
      <c r="B417" s="12">
        <v>7</v>
      </c>
      <c r="C417" s="25">
        <v>1</v>
      </c>
      <c r="D417" s="14">
        <v>2167.38247863248</v>
      </c>
      <c r="E417" s="14">
        <v>820.619658119658</v>
      </c>
      <c r="F417" s="16" t="s">
        <v>94</v>
      </c>
      <c r="G417" s="12" t="s">
        <v>95</v>
      </c>
    </row>
    <row r="418" ht="15.75" spans="1:7">
      <c r="A418" s="12">
        <v>417</v>
      </c>
      <c r="B418" s="12">
        <v>7</v>
      </c>
      <c r="C418" s="25">
        <v>1</v>
      </c>
      <c r="D418" s="14">
        <v>2170.38162393162</v>
      </c>
      <c r="E418" s="14">
        <v>928.588888888889</v>
      </c>
      <c r="F418" s="16" t="s">
        <v>95</v>
      </c>
      <c r="G418" s="12" t="s">
        <v>96</v>
      </c>
    </row>
    <row r="419" ht="15.75" spans="1:7">
      <c r="A419" s="12">
        <v>418</v>
      </c>
      <c r="B419" s="12">
        <v>7</v>
      </c>
      <c r="C419" s="25">
        <v>1</v>
      </c>
      <c r="D419" s="14">
        <v>2335.33461538462</v>
      </c>
      <c r="E419" s="14">
        <v>979.574358974359</v>
      </c>
      <c r="F419" s="16" t="s">
        <v>96</v>
      </c>
      <c r="G419" s="12" t="s">
        <v>97</v>
      </c>
    </row>
    <row r="420" ht="15.75" spans="1:7">
      <c r="A420" s="12">
        <v>419</v>
      </c>
      <c r="B420" s="12">
        <v>7</v>
      </c>
      <c r="C420" s="25">
        <v>1</v>
      </c>
      <c r="D420" s="14">
        <v>2293.34658119658</v>
      </c>
      <c r="E420" s="14">
        <v>1102.53931623932</v>
      </c>
      <c r="F420" s="16" t="s">
        <v>97</v>
      </c>
      <c r="G420" s="12" t="s">
        <v>98</v>
      </c>
    </row>
    <row r="421" ht="15.75" spans="1:7">
      <c r="A421" s="12">
        <v>420</v>
      </c>
      <c r="B421" s="12">
        <v>7</v>
      </c>
      <c r="C421" s="25">
        <v>1</v>
      </c>
      <c r="D421" s="14">
        <v>2296.34572649573</v>
      </c>
      <c r="E421" s="14">
        <v>1234.50170940171</v>
      </c>
      <c r="F421" s="16" t="s">
        <v>98</v>
      </c>
      <c r="G421" s="12" t="s">
        <v>99</v>
      </c>
    </row>
    <row r="422" ht="15.75" spans="1:7">
      <c r="A422" s="12">
        <v>421</v>
      </c>
      <c r="B422" s="12">
        <v>7</v>
      </c>
      <c r="C422" s="25">
        <v>1</v>
      </c>
      <c r="D422" s="14">
        <v>2119.39615384615</v>
      </c>
      <c r="E422" s="14">
        <v>1246.49829059829</v>
      </c>
      <c r="F422" s="16" t="s">
        <v>99</v>
      </c>
      <c r="G422" s="12" t="s">
        <v>100</v>
      </c>
    </row>
    <row r="423" ht="15.75" spans="1:7">
      <c r="A423" s="12">
        <v>422</v>
      </c>
      <c r="B423" s="12">
        <v>7</v>
      </c>
      <c r="C423" s="25">
        <v>2</v>
      </c>
      <c r="D423" s="14">
        <v>1630.53547008547</v>
      </c>
      <c r="E423" s="14">
        <v>1285.48717948718</v>
      </c>
      <c r="F423" s="16" t="s">
        <v>100</v>
      </c>
      <c r="G423" s="12" t="s">
        <v>101</v>
      </c>
    </row>
    <row r="424" ht="15.75" spans="1:7">
      <c r="A424" s="12">
        <v>423</v>
      </c>
      <c r="B424" s="12">
        <v>7</v>
      </c>
      <c r="C424" s="25">
        <v>2</v>
      </c>
      <c r="D424" s="14">
        <v>1267.63888888889</v>
      </c>
      <c r="E424" s="14">
        <v>1297.48376068376</v>
      </c>
      <c r="F424" s="16" t="s">
        <v>101</v>
      </c>
      <c r="G424" s="12" t="s">
        <v>101</v>
      </c>
    </row>
    <row r="425" ht="15.75" spans="1:7">
      <c r="A425" s="12">
        <v>424</v>
      </c>
      <c r="B425" s="12">
        <v>7</v>
      </c>
      <c r="C425" s="25">
        <v>1</v>
      </c>
      <c r="D425" s="14">
        <v>1318.62435897436</v>
      </c>
      <c r="E425" s="14">
        <v>1141.52820512821</v>
      </c>
      <c r="F425" s="16" t="s">
        <v>101</v>
      </c>
      <c r="G425" s="12" t="s">
        <v>102</v>
      </c>
    </row>
    <row r="426" ht="15.75" spans="1:7">
      <c r="A426" s="12">
        <v>425</v>
      </c>
      <c r="B426" s="12">
        <v>7</v>
      </c>
      <c r="C426" s="25">
        <v>1</v>
      </c>
      <c r="D426" s="14">
        <v>1393.60299145299</v>
      </c>
      <c r="E426" s="14">
        <v>1060.55128205128</v>
      </c>
      <c r="F426" s="16" t="s">
        <v>102</v>
      </c>
      <c r="G426" s="12" t="s">
        <v>102</v>
      </c>
    </row>
    <row r="427" ht="15.75" spans="1:7">
      <c r="A427" s="12">
        <v>426</v>
      </c>
      <c r="B427" s="12">
        <v>7</v>
      </c>
      <c r="C427" s="25">
        <v>1</v>
      </c>
      <c r="D427" s="14">
        <v>1327.62179487179</v>
      </c>
      <c r="E427" s="14">
        <v>1048.5547008547</v>
      </c>
      <c r="F427" s="16" t="s">
        <v>102</v>
      </c>
      <c r="G427" s="12" t="s">
        <v>102</v>
      </c>
    </row>
    <row r="428" ht="15.75" spans="1:7">
      <c r="A428" s="12">
        <v>427</v>
      </c>
      <c r="B428" s="12">
        <v>7</v>
      </c>
      <c r="C428" s="25">
        <v>1</v>
      </c>
      <c r="D428" s="14">
        <v>1228.65</v>
      </c>
      <c r="E428" s="14">
        <v>1057.55213675214</v>
      </c>
      <c r="F428" s="16" t="s">
        <v>102</v>
      </c>
      <c r="G428" s="12" t="s">
        <v>103</v>
      </c>
    </row>
    <row r="429" ht="15.75" spans="1:7">
      <c r="A429" s="12">
        <v>428</v>
      </c>
      <c r="B429" s="12">
        <v>7</v>
      </c>
      <c r="C429" s="25">
        <v>1</v>
      </c>
      <c r="D429" s="14">
        <v>1390.60384615385</v>
      </c>
      <c r="E429" s="14">
        <v>961.579487179487</v>
      </c>
      <c r="F429" s="16" t="s">
        <v>103</v>
      </c>
      <c r="G429" s="12" t="s">
        <v>104</v>
      </c>
    </row>
    <row r="430" ht="15.75" spans="1:7">
      <c r="A430" s="12">
        <v>429</v>
      </c>
      <c r="B430" s="12">
        <v>7</v>
      </c>
      <c r="C430" s="25">
        <v>1</v>
      </c>
      <c r="D430" s="14">
        <v>1390.60384615385</v>
      </c>
      <c r="E430" s="14">
        <v>898.597435897436</v>
      </c>
      <c r="F430" s="16" t="s">
        <v>104</v>
      </c>
      <c r="G430" s="12" t="s">
        <v>105</v>
      </c>
    </row>
    <row r="431" ht="15.75" spans="1:7">
      <c r="A431" s="12">
        <v>430</v>
      </c>
      <c r="B431" s="12">
        <v>7</v>
      </c>
      <c r="C431" s="25">
        <v>1</v>
      </c>
      <c r="D431" s="14">
        <v>1333.62008547009</v>
      </c>
      <c r="E431" s="14">
        <v>871.605128205128</v>
      </c>
      <c r="F431" s="16" t="s">
        <v>105</v>
      </c>
      <c r="G431" s="12" t="s">
        <v>106</v>
      </c>
    </row>
    <row r="432" ht="15.75" spans="1:7">
      <c r="A432" s="12">
        <v>431</v>
      </c>
      <c r="B432" s="12">
        <v>7</v>
      </c>
      <c r="C432" s="25">
        <v>1</v>
      </c>
      <c r="D432" s="14">
        <v>1327.62179487179</v>
      </c>
      <c r="E432" s="14">
        <v>787.62905982906</v>
      </c>
      <c r="F432" s="16" t="s">
        <v>106</v>
      </c>
      <c r="G432" s="12" t="s">
        <v>108</v>
      </c>
    </row>
    <row r="433" ht="15.75" spans="1:7">
      <c r="A433" s="12">
        <v>432</v>
      </c>
      <c r="B433" s="12">
        <v>7</v>
      </c>
      <c r="C433" s="25">
        <v>1</v>
      </c>
      <c r="D433" s="14">
        <v>1396.60213675214</v>
      </c>
      <c r="E433" s="14">
        <v>682.658974358974</v>
      </c>
      <c r="F433" s="16" t="s">
        <v>108</v>
      </c>
      <c r="G433" s="12" t="s">
        <v>108</v>
      </c>
    </row>
    <row r="434" ht="15.75" spans="1:7">
      <c r="A434" s="12">
        <v>433</v>
      </c>
      <c r="B434" s="12">
        <v>7</v>
      </c>
      <c r="C434" s="25">
        <v>2</v>
      </c>
      <c r="D434" s="14">
        <v>1396.60213675214</v>
      </c>
      <c r="E434" s="14">
        <v>637.671794871795</v>
      </c>
      <c r="F434" s="16" t="s">
        <v>108</v>
      </c>
      <c r="G434" s="12" t="s">
        <v>109</v>
      </c>
    </row>
    <row r="435" ht="15.75" spans="1:7">
      <c r="A435" s="12">
        <v>434</v>
      </c>
      <c r="B435" s="12">
        <v>7</v>
      </c>
      <c r="C435" s="25">
        <v>1</v>
      </c>
      <c r="D435" s="14">
        <v>1261.6405982906</v>
      </c>
      <c r="E435" s="14">
        <v>625.675213675214</v>
      </c>
      <c r="F435" s="16" t="s">
        <v>109</v>
      </c>
      <c r="G435" s="12" t="s">
        <v>187</v>
      </c>
    </row>
    <row r="436" ht="15.75" spans="1:7">
      <c r="A436" s="12">
        <v>435</v>
      </c>
      <c r="B436" s="12">
        <v>7</v>
      </c>
      <c r="C436" s="25">
        <v>1</v>
      </c>
      <c r="D436" s="14">
        <v>1387.6047008547</v>
      </c>
      <c r="E436" s="14">
        <v>433.729914529914</v>
      </c>
      <c r="F436" s="16" t="s">
        <v>187</v>
      </c>
      <c r="G436" s="12" t="s">
        <v>188</v>
      </c>
    </row>
    <row r="437" ht="15.75" spans="1:7">
      <c r="A437" s="12">
        <v>436</v>
      </c>
      <c r="B437" s="12">
        <v>7</v>
      </c>
      <c r="C437" s="25">
        <v>2</v>
      </c>
      <c r="D437" s="14">
        <v>1360.61239316239</v>
      </c>
      <c r="E437" s="14">
        <v>298.768376068376</v>
      </c>
      <c r="F437" s="16" t="s">
        <v>188</v>
      </c>
      <c r="G437" s="12" t="s">
        <v>107</v>
      </c>
    </row>
    <row r="438" ht="15.75" spans="1:7">
      <c r="A438" s="12">
        <v>437</v>
      </c>
      <c r="B438" s="12">
        <v>7</v>
      </c>
      <c r="C438" s="25">
        <v>1</v>
      </c>
      <c r="D438" s="14">
        <v>1615.53974358974</v>
      </c>
      <c r="E438" s="14">
        <v>355.752136752137</v>
      </c>
      <c r="F438" s="16" t="s">
        <v>107</v>
      </c>
      <c r="G438" s="12" t="s">
        <v>107</v>
      </c>
    </row>
    <row r="439" ht="15.75" spans="1:7">
      <c r="A439" s="12">
        <v>438</v>
      </c>
      <c r="B439" s="12">
        <v>7</v>
      </c>
      <c r="C439" s="25">
        <v>1</v>
      </c>
      <c r="D439" s="14">
        <v>1624.53717948718</v>
      </c>
      <c r="E439" s="14">
        <v>430.730769230769</v>
      </c>
      <c r="F439" s="16" t="s">
        <v>107</v>
      </c>
      <c r="G439" s="12" t="s">
        <v>110</v>
      </c>
    </row>
    <row r="440" ht="15.75" spans="1:7">
      <c r="A440" s="12">
        <v>439</v>
      </c>
      <c r="B440" s="12">
        <v>7</v>
      </c>
      <c r="C440" s="25">
        <v>1</v>
      </c>
      <c r="D440" s="14">
        <v>1669.52435897436</v>
      </c>
      <c r="E440" s="14">
        <v>316.763247863248</v>
      </c>
      <c r="F440" s="16" t="s">
        <v>110</v>
      </c>
      <c r="G440" s="12" t="s">
        <v>111</v>
      </c>
    </row>
    <row r="441" ht="15.75" spans="1:7">
      <c r="A441" s="12">
        <v>440</v>
      </c>
      <c r="B441" s="12">
        <v>7</v>
      </c>
      <c r="C441" s="25">
        <v>2</v>
      </c>
      <c r="D441" s="14">
        <v>1915.45427350427</v>
      </c>
      <c r="E441" s="14">
        <v>295.76923076923</v>
      </c>
      <c r="F441" s="16" t="s">
        <v>111</v>
      </c>
      <c r="G441" s="12" t="s">
        <v>189</v>
      </c>
    </row>
    <row r="442" ht="15.75" spans="1:7">
      <c r="A442" s="12">
        <v>441</v>
      </c>
      <c r="B442" s="12">
        <v>7</v>
      </c>
      <c r="C442" s="25">
        <v>1</v>
      </c>
      <c r="D442" s="14">
        <v>2041.41837606838</v>
      </c>
      <c r="E442" s="14">
        <v>280.773504273504</v>
      </c>
      <c r="F442" s="16" t="s">
        <v>189</v>
      </c>
      <c r="G442" s="12" t="s">
        <v>190</v>
      </c>
    </row>
    <row r="443" ht="15.75" spans="1:7">
      <c r="A443" s="12">
        <v>442</v>
      </c>
      <c r="B443" s="12">
        <v>7</v>
      </c>
      <c r="C443" s="25">
        <v>2</v>
      </c>
      <c r="D443" s="14">
        <v>2110.39871794872</v>
      </c>
      <c r="E443" s="14">
        <v>325.760683760684</v>
      </c>
      <c r="F443" s="16" t="s">
        <v>190</v>
      </c>
      <c r="G443" s="12" t="s">
        <v>112</v>
      </c>
    </row>
    <row r="444" ht="15.75" spans="1:7">
      <c r="A444" s="12">
        <v>443</v>
      </c>
      <c r="B444" s="12">
        <v>7</v>
      </c>
      <c r="C444" s="25">
        <v>1</v>
      </c>
      <c r="D444" s="14">
        <v>2287.34829059829</v>
      </c>
      <c r="E444" s="14">
        <v>355.752136752137</v>
      </c>
      <c r="F444" s="16" t="s">
        <v>112</v>
      </c>
      <c r="G444" s="12" t="s">
        <v>113</v>
      </c>
    </row>
    <row r="445" ht="15.75" spans="1:7">
      <c r="A445" s="12">
        <v>444</v>
      </c>
      <c r="B445" s="12">
        <v>7</v>
      </c>
      <c r="C445" s="25">
        <v>1</v>
      </c>
      <c r="D445" s="14">
        <v>2137.39102564103</v>
      </c>
      <c r="E445" s="14">
        <v>475.717948717948</v>
      </c>
      <c r="F445" s="16" t="s">
        <v>113</v>
      </c>
      <c r="G445" s="12" t="s">
        <v>191</v>
      </c>
    </row>
    <row r="446" ht="15.75" spans="1:7">
      <c r="A446" s="12">
        <v>445</v>
      </c>
      <c r="B446" s="12">
        <v>7</v>
      </c>
      <c r="C446" s="25">
        <v>1</v>
      </c>
      <c r="D446" s="14">
        <v>2263.35512820513</v>
      </c>
      <c r="E446" s="14">
        <v>520.705128205128</v>
      </c>
      <c r="F446" s="16" t="s">
        <v>191</v>
      </c>
      <c r="G446" s="12" t="s">
        <v>192</v>
      </c>
    </row>
    <row r="447" ht="15.75" spans="1:7">
      <c r="A447" s="12">
        <v>446</v>
      </c>
      <c r="B447" s="12">
        <v>7</v>
      </c>
      <c r="C447" s="25">
        <v>2</v>
      </c>
      <c r="D447" s="14">
        <v>2227.36538461539</v>
      </c>
      <c r="E447" s="14">
        <v>613.678632478632</v>
      </c>
      <c r="F447" s="16" t="s">
        <v>192</v>
      </c>
      <c r="G447" s="12" t="s">
        <v>114</v>
      </c>
    </row>
    <row r="448" ht="15.75" spans="1:7">
      <c r="A448" s="12">
        <v>447</v>
      </c>
      <c r="B448" s="12">
        <v>7</v>
      </c>
      <c r="C448" s="25">
        <v>1</v>
      </c>
      <c r="D448" s="14">
        <v>2131.39273504274</v>
      </c>
      <c r="E448" s="14">
        <v>745.641025641026</v>
      </c>
      <c r="F448" s="16" t="s">
        <v>114</v>
      </c>
      <c r="G448" s="12" t="s">
        <v>115</v>
      </c>
    </row>
    <row r="449" ht="15.75" spans="1:7">
      <c r="A449" s="12">
        <v>448</v>
      </c>
      <c r="B449" s="12">
        <v>7</v>
      </c>
      <c r="C449" s="25">
        <v>2</v>
      </c>
      <c r="D449" s="14">
        <v>2119.39615384615</v>
      </c>
      <c r="E449" s="14">
        <v>1081.5452991453</v>
      </c>
      <c r="F449" s="16" t="s">
        <v>115</v>
      </c>
      <c r="G449" s="12" t="s">
        <v>116</v>
      </c>
    </row>
    <row r="450" ht="15.75" spans="1:7">
      <c r="A450" s="12">
        <v>449</v>
      </c>
      <c r="B450" s="12">
        <v>7</v>
      </c>
      <c r="C450" s="25">
        <v>2</v>
      </c>
      <c r="D450" s="14">
        <v>2062.41239316239</v>
      </c>
      <c r="E450" s="14">
        <v>1282.48803418803</v>
      </c>
      <c r="F450" s="16" t="s">
        <v>116</v>
      </c>
      <c r="G450" s="12" t="s">
        <v>117</v>
      </c>
    </row>
    <row r="451" ht="15.75" spans="1:7">
      <c r="A451" s="12">
        <v>450</v>
      </c>
      <c r="B451" s="12">
        <v>7</v>
      </c>
      <c r="C451" s="26">
        <v>3</v>
      </c>
      <c r="D451" s="14">
        <v>1927.45085470086</v>
      </c>
      <c r="E451" s="14">
        <v>1315.47863247863</v>
      </c>
      <c r="F451" s="16" t="s">
        <v>117</v>
      </c>
      <c r="G451" s="12" t="s">
        <v>121</v>
      </c>
    </row>
    <row r="452" ht="15.75" spans="1:7">
      <c r="A452" s="12">
        <v>451</v>
      </c>
      <c r="B452" s="12">
        <v>7</v>
      </c>
      <c r="C452" s="25">
        <v>2</v>
      </c>
      <c r="D452" s="14">
        <v>1771.4952991453</v>
      </c>
      <c r="E452" s="14">
        <v>1480.43162393162</v>
      </c>
      <c r="F452" s="16" t="s">
        <v>121</v>
      </c>
      <c r="G452" s="12" t="s">
        <v>121</v>
      </c>
    </row>
    <row r="453" ht="15.75" spans="1:7">
      <c r="A453" s="12">
        <v>452</v>
      </c>
      <c r="B453" s="12">
        <v>7</v>
      </c>
      <c r="C453" s="25">
        <v>1</v>
      </c>
      <c r="D453" s="14">
        <v>1777.49358974359</v>
      </c>
      <c r="E453" s="14">
        <v>1534.41623931624</v>
      </c>
      <c r="F453" s="16" t="s">
        <v>121</v>
      </c>
      <c r="G453" s="12" t="s">
        <v>122</v>
      </c>
    </row>
    <row r="454" ht="15.75" spans="1:7">
      <c r="A454" s="12">
        <v>453</v>
      </c>
      <c r="B454" s="12">
        <v>7</v>
      </c>
      <c r="C454" s="25">
        <v>1</v>
      </c>
      <c r="D454" s="14">
        <v>1849.47307692308</v>
      </c>
      <c r="E454" s="14">
        <v>1858.32393162393</v>
      </c>
      <c r="F454" s="16" t="s">
        <v>122</v>
      </c>
      <c r="G454" s="12" t="s">
        <v>193</v>
      </c>
    </row>
    <row r="455" ht="15.75" spans="1:7">
      <c r="A455" s="12">
        <v>454</v>
      </c>
      <c r="B455" s="12">
        <v>7</v>
      </c>
      <c r="C455" s="25">
        <v>2</v>
      </c>
      <c r="D455" s="14">
        <v>1582.54914529915</v>
      </c>
      <c r="E455" s="14">
        <v>2197.22735042735</v>
      </c>
      <c r="F455" s="16" t="s">
        <v>193</v>
      </c>
      <c r="G455" s="12">
        <v>10.41</v>
      </c>
    </row>
    <row r="456" ht="15.75" spans="1:7">
      <c r="A456" s="12">
        <v>455</v>
      </c>
      <c r="B456" s="12">
        <v>7</v>
      </c>
      <c r="C456" s="26">
        <v>3</v>
      </c>
      <c r="D456" s="14">
        <v>1606.54230769231</v>
      </c>
      <c r="E456" s="14">
        <v>2272.20598290598</v>
      </c>
      <c r="F456" s="12">
        <v>10.41</v>
      </c>
      <c r="G456" s="12">
        <v>10.44</v>
      </c>
    </row>
    <row r="457" ht="15.75" spans="1:7">
      <c r="A457" s="12">
        <v>456</v>
      </c>
      <c r="B457" s="12">
        <v>8</v>
      </c>
      <c r="C457" s="25">
        <v>1</v>
      </c>
      <c r="D457" s="14">
        <v>1660.52692307692</v>
      </c>
      <c r="E457" s="14">
        <v>1855.32478632479</v>
      </c>
      <c r="F457" s="15" t="s">
        <v>194</v>
      </c>
      <c r="G457" s="12" t="s">
        <v>195</v>
      </c>
    </row>
    <row r="458" ht="15.75" spans="1:7">
      <c r="A458" s="12">
        <v>457</v>
      </c>
      <c r="B458" s="12">
        <v>8</v>
      </c>
      <c r="C458" s="25">
        <v>1</v>
      </c>
      <c r="D458" s="14">
        <v>1879.46452991453</v>
      </c>
      <c r="E458" s="14">
        <v>1723.36239316239</v>
      </c>
      <c r="F458" s="16" t="s">
        <v>195</v>
      </c>
      <c r="G458" s="12" t="s">
        <v>196</v>
      </c>
    </row>
    <row r="459" ht="15.75" spans="1:7">
      <c r="A459" s="12">
        <v>458</v>
      </c>
      <c r="B459" s="12">
        <v>8</v>
      </c>
      <c r="C459" s="25">
        <v>1</v>
      </c>
      <c r="D459" s="14">
        <v>1801.48675213675</v>
      </c>
      <c r="E459" s="14">
        <v>1555.41025641026</v>
      </c>
      <c r="F459" s="16" t="s">
        <v>196</v>
      </c>
      <c r="G459" s="12" t="s">
        <v>197</v>
      </c>
    </row>
    <row r="460" ht="15.75" spans="1:7">
      <c r="A460" s="12">
        <v>459</v>
      </c>
      <c r="B460" s="12">
        <v>8</v>
      </c>
      <c r="C460" s="25">
        <v>2</v>
      </c>
      <c r="D460" s="14">
        <v>1780.49273504274</v>
      </c>
      <c r="E460" s="14">
        <v>1153.52478632479</v>
      </c>
      <c r="F460" s="15" t="s">
        <v>197</v>
      </c>
      <c r="G460" s="12" t="s">
        <v>197</v>
      </c>
    </row>
    <row r="461" ht="15.75" spans="1:7">
      <c r="A461" s="12">
        <v>460</v>
      </c>
      <c r="B461" s="12">
        <v>8</v>
      </c>
      <c r="C461" s="25">
        <v>1</v>
      </c>
      <c r="D461" s="14">
        <v>1738.5047008547</v>
      </c>
      <c r="E461" s="14">
        <v>1018.56324786325</v>
      </c>
      <c r="F461" s="15" t="s">
        <v>197</v>
      </c>
      <c r="G461" s="12" t="s">
        <v>198</v>
      </c>
    </row>
    <row r="462" ht="15.75" spans="1:7">
      <c r="A462" s="12">
        <v>461</v>
      </c>
      <c r="B462" s="12">
        <v>8</v>
      </c>
      <c r="C462" s="25">
        <v>2</v>
      </c>
      <c r="D462" s="14">
        <v>1765.49700854701</v>
      </c>
      <c r="E462" s="14">
        <v>859.608547008547</v>
      </c>
      <c r="F462" s="16" t="s">
        <v>198</v>
      </c>
      <c r="G462" s="12" t="s">
        <v>198</v>
      </c>
    </row>
    <row r="463" ht="15.75" spans="1:7">
      <c r="A463" s="12">
        <v>462</v>
      </c>
      <c r="B463" s="12">
        <v>8</v>
      </c>
      <c r="C463" s="25">
        <v>4</v>
      </c>
      <c r="D463" s="14">
        <v>1807.48504273504</v>
      </c>
      <c r="E463" s="14">
        <v>772.633333333333</v>
      </c>
      <c r="F463" s="15" t="s">
        <v>198</v>
      </c>
      <c r="G463" s="12" t="s">
        <v>199</v>
      </c>
    </row>
    <row r="464" ht="15.75" spans="1:7">
      <c r="A464" s="12">
        <v>463</v>
      </c>
      <c r="B464" s="12">
        <v>8</v>
      </c>
      <c r="C464" s="25">
        <v>2</v>
      </c>
      <c r="D464" s="14">
        <v>1636.53376068376</v>
      </c>
      <c r="E464" s="14">
        <v>1219.50598290598</v>
      </c>
      <c r="F464" s="16" t="s">
        <v>199</v>
      </c>
      <c r="G464" s="12" t="s">
        <v>200</v>
      </c>
    </row>
    <row r="465" ht="15.75" spans="1:7">
      <c r="A465" s="12">
        <v>464</v>
      </c>
      <c r="B465" s="12">
        <v>8</v>
      </c>
      <c r="C465" s="25">
        <v>1</v>
      </c>
      <c r="D465" s="14">
        <v>1393.60299145299</v>
      </c>
      <c r="E465" s="14">
        <v>1264.49316239316</v>
      </c>
      <c r="F465" s="16" t="s">
        <v>200</v>
      </c>
      <c r="G465" s="12" t="s">
        <v>201</v>
      </c>
    </row>
    <row r="466" ht="15.75" spans="1:7">
      <c r="A466" s="12">
        <v>465</v>
      </c>
      <c r="B466" s="12">
        <v>8</v>
      </c>
      <c r="C466" s="25">
        <v>1</v>
      </c>
      <c r="D466" s="14">
        <v>1315.62521367521</v>
      </c>
      <c r="E466" s="14">
        <v>1231.50256410256</v>
      </c>
      <c r="F466" s="16" t="s">
        <v>201</v>
      </c>
      <c r="G466" s="12" t="s">
        <v>202</v>
      </c>
    </row>
    <row r="467" ht="15.75" spans="1:7">
      <c r="A467" s="12">
        <v>466</v>
      </c>
      <c r="B467" s="12">
        <v>8</v>
      </c>
      <c r="C467" s="25">
        <v>1</v>
      </c>
      <c r="D467" s="14">
        <v>1204.65683760684</v>
      </c>
      <c r="E467" s="14">
        <v>1246.49829059829</v>
      </c>
      <c r="F467" s="16" t="s">
        <v>202</v>
      </c>
      <c r="G467" s="12" t="s">
        <v>202</v>
      </c>
    </row>
    <row r="468" ht="15.75" spans="1:7">
      <c r="A468" s="12">
        <v>467</v>
      </c>
      <c r="B468" s="12">
        <v>8</v>
      </c>
      <c r="C468" s="25">
        <v>1</v>
      </c>
      <c r="D468" s="14">
        <v>1207.65598290598</v>
      </c>
      <c r="E468" s="14">
        <v>1204.51025641026</v>
      </c>
      <c r="F468" s="16" t="s">
        <v>202</v>
      </c>
      <c r="G468" s="12" t="s">
        <v>203</v>
      </c>
    </row>
    <row r="469" ht="15.75" spans="1:7">
      <c r="A469" s="12">
        <v>468</v>
      </c>
      <c r="B469" s="12">
        <v>8</v>
      </c>
      <c r="C469" s="25">
        <v>2</v>
      </c>
      <c r="D469" s="14">
        <v>1378.60726495726</v>
      </c>
      <c r="E469" s="14">
        <v>1093.54188034188</v>
      </c>
      <c r="F469" s="16" t="s">
        <v>203</v>
      </c>
      <c r="G469" s="12" t="s">
        <v>204</v>
      </c>
    </row>
    <row r="470" ht="15.75" spans="1:7">
      <c r="A470" s="12">
        <v>469</v>
      </c>
      <c r="B470" s="12">
        <v>8</v>
      </c>
      <c r="C470" s="25">
        <v>1</v>
      </c>
      <c r="D470" s="14">
        <v>1393.60299145299</v>
      </c>
      <c r="E470" s="14">
        <v>1138.52905982906</v>
      </c>
      <c r="F470" s="16" t="s">
        <v>204</v>
      </c>
      <c r="G470" s="12" t="s">
        <v>205</v>
      </c>
    </row>
    <row r="471" ht="15.75" spans="1:7">
      <c r="A471" s="12">
        <v>470</v>
      </c>
      <c r="B471" s="12">
        <v>8</v>
      </c>
      <c r="C471" s="25">
        <v>2</v>
      </c>
      <c r="D471" s="14">
        <v>1312.62606837607</v>
      </c>
      <c r="E471" s="14">
        <v>1024.56153846154</v>
      </c>
      <c r="F471" s="16" t="s">
        <v>205</v>
      </c>
      <c r="G471" s="12" t="s">
        <v>205</v>
      </c>
    </row>
    <row r="472" ht="15.75" spans="1:7">
      <c r="A472" s="12">
        <v>471</v>
      </c>
      <c r="B472" s="12">
        <v>8</v>
      </c>
      <c r="C472" s="25">
        <v>4</v>
      </c>
      <c r="D472" s="14">
        <v>1372.60897435897</v>
      </c>
      <c r="E472" s="14">
        <v>955.581196581197</v>
      </c>
      <c r="F472" s="16" t="s">
        <v>205</v>
      </c>
      <c r="G472" s="12" t="s">
        <v>135</v>
      </c>
    </row>
    <row r="473" ht="15.75" spans="1:7">
      <c r="A473" s="12">
        <v>472</v>
      </c>
      <c r="B473" s="12">
        <v>8</v>
      </c>
      <c r="C473" s="25">
        <v>1</v>
      </c>
      <c r="D473" s="14">
        <v>1360.61239316239</v>
      </c>
      <c r="E473" s="14">
        <v>787.62905982906</v>
      </c>
      <c r="F473" s="16" t="s">
        <v>135</v>
      </c>
      <c r="G473" s="12" t="s">
        <v>206</v>
      </c>
    </row>
    <row r="474" ht="15.75" spans="1:7">
      <c r="A474" s="12">
        <v>473</v>
      </c>
      <c r="B474" s="12">
        <v>8</v>
      </c>
      <c r="C474" s="25">
        <v>1</v>
      </c>
      <c r="D474" s="14">
        <v>1354.6141025641</v>
      </c>
      <c r="E474" s="14">
        <v>649.668376068376</v>
      </c>
      <c r="F474" s="16" t="s">
        <v>206</v>
      </c>
      <c r="G474" s="12" t="s">
        <v>206</v>
      </c>
    </row>
    <row r="475" ht="15.75" spans="1:7">
      <c r="A475" s="12">
        <v>474</v>
      </c>
      <c r="B475" s="12">
        <v>8</v>
      </c>
      <c r="C475" s="25">
        <v>2</v>
      </c>
      <c r="D475" s="14">
        <v>1249.64401709402</v>
      </c>
      <c r="E475" s="14">
        <v>640.67094017094</v>
      </c>
      <c r="F475" s="16" t="s">
        <v>206</v>
      </c>
      <c r="G475" s="12" t="s">
        <v>207</v>
      </c>
    </row>
    <row r="476" ht="15.75" spans="1:7">
      <c r="A476" s="12">
        <v>475</v>
      </c>
      <c r="B476" s="12">
        <v>8</v>
      </c>
      <c r="C476" s="25">
        <v>1</v>
      </c>
      <c r="D476" s="14">
        <v>1270.63803418803</v>
      </c>
      <c r="E476" s="14">
        <v>517.705982905983</v>
      </c>
      <c r="F476" s="16" t="s">
        <v>207</v>
      </c>
      <c r="G476" s="12" t="s">
        <v>208</v>
      </c>
    </row>
    <row r="477" ht="15.75" spans="1:7">
      <c r="A477" s="12">
        <v>476</v>
      </c>
      <c r="B477" s="12">
        <v>8</v>
      </c>
      <c r="C477" s="25">
        <v>1</v>
      </c>
      <c r="D477" s="14">
        <v>1261.6405982906</v>
      </c>
      <c r="E477" s="14">
        <v>316.763247863248</v>
      </c>
      <c r="F477" s="16" t="s">
        <v>208</v>
      </c>
      <c r="G477" s="12" t="s">
        <v>209</v>
      </c>
    </row>
    <row r="478" ht="15.75" spans="1:7">
      <c r="A478" s="12">
        <v>477</v>
      </c>
      <c r="B478" s="12">
        <v>8</v>
      </c>
      <c r="C478" s="25">
        <v>2</v>
      </c>
      <c r="D478" s="14">
        <v>1336.61923076923</v>
      </c>
      <c r="E478" s="14">
        <v>436.72905982906</v>
      </c>
      <c r="F478" s="16" t="s">
        <v>209</v>
      </c>
      <c r="G478" s="12" t="s">
        <v>209</v>
      </c>
    </row>
    <row r="479" ht="15.75" spans="1:7">
      <c r="A479" s="12">
        <v>478</v>
      </c>
      <c r="B479" s="12">
        <v>8</v>
      </c>
      <c r="C479" s="25">
        <v>1</v>
      </c>
      <c r="D479" s="14">
        <v>1375.60811965812</v>
      </c>
      <c r="E479" s="14">
        <v>325.760683760684</v>
      </c>
      <c r="F479" s="16" t="s">
        <v>209</v>
      </c>
      <c r="G479" s="12" t="s">
        <v>210</v>
      </c>
    </row>
    <row r="480" ht="15.75" spans="1:7">
      <c r="A480" s="12">
        <v>479</v>
      </c>
      <c r="B480" s="12">
        <v>8</v>
      </c>
      <c r="C480" s="26">
        <v>3</v>
      </c>
      <c r="D480" s="14">
        <v>1606.54230769231</v>
      </c>
      <c r="E480" s="14">
        <v>364.749572649573</v>
      </c>
      <c r="F480" s="15" t="s">
        <v>210</v>
      </c>
      <c r="G480" s="12" t="s">
        <v>211</v>
      </c>
    </row>
    <row r="481" ht="15.75" spans="1:7">
      <c r="A481" s="12">
        <v>480</v>
      </c>
      <c r="B481" s="12">
        <v>8</v>
      </c>
      <c r="C481" s="25">
        <v>2</v>
      </c>
      <c r="D481" s="14">
        <v>1993.43205128205</v>
      </c>
      <c r="E481" s="14">
        <v>316.763247863248</v>
      </c>
      <c r="F481" s="16" t="s">
        <v>211</v>
      </c>
      <c r="G481" s="12" t="s">
        <v>212</v>
      </c>
    </row>
    <row r="482" ht="15.75" spans="1:7">
      <c r="A482" s="12">
        <v>481</v>
      </c>
      <c r="B482" s="12">
        <v>8</v>
      </c>
      <c r="C482" s="25">
        <v>1</v>
      </c>
      <c r="D482" s="14">
        <v>2254.35769230769</v>
      </c>
      <c r="E482" s="14">
        <v>310.764957264957</v>
      </c>
      <c r="F482" s="16" t="s">
        <v>212</v>
      </c>
      <c r="G482" s="12" t="s">
        <v>212</v>
      </c>
    </row>
    <row r="483" ht="15.75" spans="1:7">
      <c r="A483" s="12">
        <v>482</v>
      </c>
      <c r="B483" s="12">
        <v>8</v>
      </c>
      <c r="C483" s="25">
        <v>1</v>
      </c>
      <c r="D483" s="14">
        <v>2296.34572649573</v>
      </c>
      <c r="E483" s="14">
        <v>355.752136752137</v>
      </c>
      <c r="F483" s="16" t="s">
        <v>212</v>
      </c>
      <c r="G483" s="12" t="s">
        <v>213</v>
      </c>
    </row>
    <row r="484" ht="15.75" spans="1:7">
      <c r="A484" s="12">
        <v>483</v>
      </c>
      <c r="B484" s="12">
        <v>8</v>
      </c>
      <c r="C484" s="25">
        <v>1</v>
      </c>
      <c r="D484" s="14">
        <v>2167.38247863248</v>
      </c>
      <c r="E484" s="14">
        <v>466.720512820513</v>
      </c>
      <c r="F484" s="16" t="s">
        <v>213</v>
      </c>
      <c r="G484" s="12" t="s">
        <v>214</v>
      </c>
    </row>
    <row r="485" ht="15.75" spans="1:7">
      <c r="A485" s="12">
        <v>484</v>
      </c>
      <c r="B485" s="12">
        <v>8</v>
      </c>
      <c r="C485" s="25">
        <v>4</v>
      </c>
      <c r="D485" s="14">
        <v>2182.37820512821</v>
      </c>
      <c r="E485" s="14">
        <v>553.695726495726</v>
      </c>
      <c r="F485" s="15" t="s">
        <v>214</v>
      </c>
      <c r="G485" s="12" t="s">
        <v>214</v>
      </c>
    </row>
    <row r="486" ht="15.75" spans="1:7">
      <c r="A486" s="12">
        <v>485</v>
      </c>
      <c r="B486" s="12">
        <v>8</v>
      </c>
      <c r="C486" s="25">
        <v>1</v>
      </c>
      <c r="D486" s="14">
        <v>2176.37991452992</v>
      </c>
      <c r="E486" s="14">
        <v>904.595726495726</v>
      </c>
      <c r="F486" s="16" t="s">
        <v>214</v>
      </c>
      <c r="G486" s="12" t="s">
        <v>215</v>
      </c>
    </row>
    <row r="487" ht="15.75" spans="1:7">
      <c r="A487" s="12">
        <v>486</v>
      </c>
      <c r="B487" s="12">
        <v>8</v>
      </c>
      <c r="C487" s="25">
        <v>1</v>
      </c>
      <c r="D487" s="14">
        <v>2236.36282051282</v>
      </c>
      <c r="E487" s="14">
        <v>1066.54957264957</v>
      </c>
      <c r="F487" s="16" t="s">
        <v>215</v>
      </c>
      <c r="G487" s="12" t="s">
        <v>216</v>
      </c>
    </row>
    <row r="488" ht="15.75" spans="1:7">
      <c r="A488" s="12">
        <v>487</v>
      </c>
      <c r="B488" s="12">
        <v>8</v>
      </c>
      <c r="C488" s="25">
        <v>1</v>
      </c>
      <c r="D488" s="14">
        <v>2191.37564102564</v>
      </c>
      <c r="E488" s="14">
        <v>1234.50170940171</v>
      </c>
      <c r="F488" s="16" t="s">
        <v>216</v>
      </c>
      <c r="G488" s="12" t="s">
        <v>217</v>
      </c>
    </row>
    <row r="489" ht="15.75" spans="1:7">
      <c r="A489" s="12">
        <v>488</v>
      </c>
      <c r="B489" s="12">
        <v>8</v>
      </c>
      <c r="C489" s="25">
        <v>2</v>
      </c>
      <c r="D489" s="14">
        <v>2047.41666666667</v>
      </c>
      <c r="E489" s="14">
        <v>1231.50256410256</v>
      </c>
      <c r="F489" s="16" t="s">
        <v>217</v>
      </c>
      <c r="G489" s="12" t="s">
        <v>217</v>
      </c>
    </row>
    <row r="490" ht="15.75" spans="1:7">
      <c r="A490" s="12">
        <v>489</v>
      </c>
      <c r="B490" s="12">
        <v>8</v>
      </c>
      <c r="C490" s="25">
        <v>4</v>
      </c>
      <c r="D490" s="14">
        <v>1831.47820512821</v>
      </c>
      <c r="E490" s="14">
        <v>1291.48547008547</v>
      </c>
      <c r="F490" s="16" t="s">
        <v>217</v>
      </c>
      <c r="G490" s="12">
        <v>11.37</v>
      </c>
    </row>
    <row r="491" ht="15.75" spans="1:7">
      <c r="A491" s="12">
        <v>490</v>
      </c>
      <c r="B491" s="12">
        <v>8</v>
      </c>
      <c r="C491" s="25">
        <v>1</v>
      </c>
      <c r="D491" s="14">
        <v>1372.60897435897</v>
      </c>
      <c r="E491" s="14">
        <v>1141.52820512821</v>
      </c>
      <c r="F491" s="16" t="s">
        <v>218</v>
      </c>
      <c r="G491" s="12" t="s">
        <v>218</v>
      </c>
    </row>
    <row r="492" ht="15.75" spans="1:7">
      <c r="A492" s="12">
        <v>491</v>
      </c>
      <c r="B492" s="12">
        <v>8</v>
      </c>
      <c r="C492" s="25">
        <v>1</v>
      </c>
      <c r="D492" s="14">
        <v>1390.60384615385</v>
      </c>
      <c r="E492" s="14">
        <v>1066.54957264957</v>
      </c>
      <c r="F492" s="16" t="s">
        <v>218</v>
      </c>
      <c r="G492" s="12" t="s">
        <v>219</v>
      </c>
    </row>
    <row r="493" ht="15.75" spans="1:7">
      <c r="A493" s="12">
        <v>492</v>
      </c>
      <c r="B493" s="12">
        <v>8</v>
      </c>
      <c r="C493" s="25">
        <v>1</v>
      </c>
      <c r="D493" s="14">
        <v>1261.6405982906</v>
      </c>
      <c r="E493" s="14">
        <v>1057.55213675214</v>
      </c>
      <c r="F493" s="16" t="s">
        <v>219</v>
      </c>
      <c r="G493" s="12" t="s">
        <v>219</v>
      </c>
    </row>
    <row r="494" ht="15.75" spans="1:7">
      <c r="A494" s="12">
        <v>493</v>
      </c>
      <c r="B494" s="12">
        <v>8</v>
      </c>
      <c r="C494" s="25">
        <v>4</v>
      </c>
      <c r="D494" s="14">
        <v>1339.61837606838</v>
      </c>
      <c r="E494" s="14">
        <v>937.586324786325</v>
      </c>
      <c r="F494" s="16" t="s">
        <v>219</v>
      </c>
      <c r="G494" s="12" t="s">
        <v>220</v>
      </c>
    </row>
    <row r="495" ht="15.75" spans="1:7">
      <c r="A495" s="12">
        <v>494</v>
      </c>
      <c r="B495" s="12">
        <v>8</v>
      </c>
      <c r="C495" s="25">
        <v>2</v>
      </c>
      <c r="D495" s="14">
        <v>1399.60128205128</v>
      </c>
      <c r="E495" s="14">
        <v>703.652991452992</v>
      </c>
      <c r="F495" s="16" t="s">
        <v>220</v>
      </c>
      <c r="G495" s="12" t="s">
        <v>221</v>
      </c>
    </row>
    <row r="496" ht="15.75" spans="1:7">
      <c r="A496" s="12">
        <v>495</v>
      </c>
      <c r="B496" s="12">
        <v>8</v>
      </c>
      <c r="C496" s="25">
        <v>1</v>
      </c>
      <c r="D496" s="14">
        <v>1390.60384615385</v>
      </c>
      <c r="E496" s="14">
        <v>634.672649572649</v>
      </c>
      <c r="F496" s="16" t="s">
        <v>221</v>
      </c>
      <c r="G496" s="12" t="s">
        <v>221</v>
      </c>
    </row>
    <row r="497" ht="15.75" spans="1:7">
      <c r="A497" s="12">
        <v>496</v>
      </c>
      <c r="B497" s="12">
        <v>8</v>
      </c>
      <c r="C497" s="25">
        <v>4</v>
      </c>
      <c r="D497" s="14">
        <v>1315.62521367521</v>
      </c>
      <c r="E497" s="14">
        <v>634.672649572649</v>
      </c>
      <c r="F497" s="16" t="s">
        <v>221</v>
      </c>
      <c r="G497" s="12" t="s">
        <v>222</v>
      </c>
    </row>
    <row r="498" ht="15.75" spans="1:7">
      <c r="A498" s="12">
        <v>497</v>
      </c>
      <c r="B498" s="12">
        <v>8</v>
      </c>
      <c r="C498" s="25">
        <v>4</v>
      </c>
      <c r="D498" s="14">
        <v>1375.60811965812</v>
      </c>
      <c r="E498" s="14">
        <v>526.703418803419</v>
      </c>
      <c r="F498" s="16" t="s">
        <v>222</v>
      </c>
      <c r="G498" s="12" t="s">
        <v>222</v>
      </c>
    </row>
    <row r="499" ht="15.75" spans="1:7">
      <c r="A499" s="12">
        <v>498</v>
      </c>
      <c r="B499" s="12">
        <v>8</v>
      </c>
      <c r="C499" s="25">
        <v>1</v>
      </c>
      <c r="D499" s="14">
        <v>1252.64316239316</v>
      </c>
      <c r="E499" s="14">
        <v>400.739316239316</v>
      </c>
      <c r="F499" s="16" t="s">
        <v>222</v>
      </c>
      <c r="G499" s="12" t="s">
        <v>223</v>
      </c>
    </row>
    <row r="500" ht="15.75" spans="1:7">
      <c r="A500" s="12">
        <v>499</v>
      </c>
      <c r="B500" s="12">
        <v>8</v>
      </c>
      <c r="C500" s="25">
        <v>2</v>
      </c>
      <c r="D500" s="14">
        <v>1459.58418803419</v>
      </c>
      <c r="E500" s="14">
        <v>319.762393162393</v>
      </c>
      <c r="F500" s="16" t="s">
        <v>223</v>
      </c>
      <c r="G500" s="12" t="s">
        <v>224</v>
      </c>
    </row>
    <row r="501" ht="15.75" spans="1:7">
      <c r="A501" s="12">
        <v>500</v>
      </c>
      <c r="B501" s="12">
        <v>8</v>
      </c>
      <c r="C501" s="25">
        <v>1</v>
      </c>
      <c r="D501" s="14">
        <v>1642.53205128205</v>
      </c>
      <c r="E501" s="14">
        <v>328.759829059829</v>
      </c>
      <c r="F501" s="16" t="s">
        <v>224</v>
      </c>
      <c r="G501" s="12" t="s">
        <v>225</v>
      </c>
    </row>
    <row r="502" ht="15.75" spans="1:7">
      <c r="A502" s="12">
        <v>501</v>
      </c>
      <c r="B502" s="12">
        <v>8</v>
      </c>
      <c r="C502" s="26">
        <v>3</v>
      </c>
      <c r="D502" s="14">
        <v>1744.50299145299</v>
      </c>
      <c r="E502" s="14">
        <v>385.743589743589</v>
      </c>
      <c r="F502" s="16" t="s">
        <v>225</v>
      </c>
      <c r="G502" s="12" t="s">
        <v>226</v>
      </c>
    </row>
    <row r="503" ht="15.75" spans="1:7">
      <c r="A503" s="12">
        <v>502</v>
      </c>
      <c r="B503" s="12">
        <v>8</v>
      </c>
      <c r="C503" s="25">
        <v>2</v>
      </c>
      <c r="D503" s="14">
        <v>2017.42521367521</v>
      </c>
      <c r="E503" s="14">
        <v>307.765811965812</v>
      </c>
      <c r="F503" s="16" t="s">
        <v>226</v>
      </c>
      <c r="G503" s="12" t="s">
        <v>227</v>
      </c>
    </row>
    <row r="504" ht="15.75" spans="1:7">
      <c r="A504" s="12">
        <v>503</v>
      </c>
      <c r="B504" s="12">
        <v>8</v>
      </c>
      <c r="C504" s="25">
        <v>1</v>
      </c>
      <c r="D504" s="14">
        <v>2134.39188034188</v>
      </c>
      <c r="E504" s="14">
        <v>469.719658119658</v>
      </c>
      <c r="F504" s="16" t="s">
        <v>227</v>
      </c>
      <c r="G504" s="12" t="s">
        <v>228</v>
      </c>
    </row>
    <row r="505" ht="15.75" spans="1:7">
      <c r="A505" s="12">
        <v>504</v>
      </c>
      <c r="B505" s="12">
        <v>8</v>
      </c>
      <c r="C505" s="25">
        <v>2</v>
      </c>
      <c r="D505" s="14">
        <v>2167.38247863248</v>
      </c>
      <c r="E505" s="14">
        <v>739.642735042735</v>
      </c>
      <c r="F505" s="16" t="s">
        <v>228</v>
      </c>
      <c r="G505" s="12" t="s">
        <v>228</v>
      </c>
    </row>
    <row r="506" ht="15.75" spans="1:7">
      <c r="A506" s="12">
        <v>505</v>
      </c>
      <c r="B506" s="12">
        <v>8</v>
      </c>
      <c r="C506" s="25">
        <v>4</v>
      </c>
      <c r="D506" s="14">
        <v>2122.3952991453</v>
      </c>
      <c r="E506" s="14">
        <v>829.617094017094</v>
      </c>
      <c r="F506" s="16" t="s">
        <v>228</v>
      </c>
      <c r="G506" s="12" t="s">
        <v>138</v>
      </c>
    </row>
    <row r="507" ht="15.75" spans="1:7">
      <c r="A507" s="12">
        <v>506</v>
      </c>
      <c r="B507" s="12">
        <v>8</v>
      </c>
      <c r="C507" s="25">
        <v>2</v>
      </c>
      <c r="D507" s="14">
        <v>2122.3952991453</v>
      </c>
      <c r="E507" s="14">
        <v>1057.55213675214</v>
      </c>
      <c r="F507" s="16" t="s">
        <v>138</v>
      </c>
      <c r="G507" s="12" t="s">
        <v>229</v>
      </c>
    </row>
    <row r="508" ht="15.75" spans="1:7">
      <c r="A508" s="12">
        <v>507</v>
      </c>
      <c r="B508" s="12">
        <v>8</v>
      </c>
      <c r="C508" s="25">
        <v>2</v>
      </c>
      <c r="D508" s="14">
        <v>1603.54316239316</v>
      </c>
      <c r="E508" s="14">
        <v>1285.48717948718</v>
      </c>
      <c r="F508" s="16" t="s">
        <v>229</v>
      </c>
      <c r="G508" s="12" t="s">
        <v>139</v>
      </c>
    </row>
    <row r="509" ht="15.75" spans="1:7">
      <c r="A509" s="12">
        <v>508</v>
      </c>
      <c r="B509" s="12">
        <v>8</v>
      </c>
      <c r="C509" s="25">
        <v>2</v>
      </c>
      <c r="D509" s="14">
        <v>1753.50042735043</v>
      </c>
      <c r="E509" s="14">
        <v>1456.43846153846</v>
      </c>
      <c r="F509" s="16" t="s">
        <v>139</v>
      </c>
      <c r="G509" s="12" t="s">
        <v>140</v>
      </c>
    </row>
    <row r="510" ht="15.75" spans="1:7">
      <c r="A510" s="12">
        <v>509</v>
      </c>
      <c r="B510" s="12">
        <v>8</v>
      </c>
      <c r="C510" s="25">
        <v>2</v>
      </c>
      <c r="D510" s="14">
        <v>1636.53376068376</v>
      </c>
      <c r="E510" s="14">
        <v>2158.23846153846</v>
      </c>
      <c r="F510" s="16" t="s">
        <v>140</v>
      </c>
      <c r="G510" s="12">
        <v>11.53</v>
      </c>
    </row>
    <row r="511" ht="15.75" spans="1:7">
      <c r="A511" s="12">
        <v>510</v>
      </c>
      <c r="B511" s="1">
        <v>9</v>
      </c>
      <c r="C511" s="25">
        <v>1</v>
      </c>
      <c r="D511" s="14">
        <v>1861.46965811966</v>
      </c>
      <c r="E511" s="14">
        <v>1855.32478632479</v>
      </c>
      <c r="F511" s="15" t="s">
        <v>230</v>
      </c>
      <c r="G511" s="1" t="s">
        <v>71</v>
      </c>
    </row>
    <row r="512" ht="15.75" spans="1:7">
      <c r="A512" s="12">
        <v>511</v>
      </c>
      <c r="B512" s="1">
        <v>9</v>
      </c>
      <c r="C512" s="25">
        <v>1</v>
      </c>
      <c r="D512" s="14">
        <v>1723.50897435897</v>
      </c>
      <c r="E512" s="14">
        <v>1390.45726495727</v>
      </c>
      <c r="F512" s="15" t="s">
        <v>71</v>
      </c>
      <c r="G512" s="1" t="s">
        <v>71</v>
      </c>
    </row>
    <row r="513" ht="15.75" spans="1:7">
      <c r="A513" s="12">
        <v>512</v>
      </c>
      <c r="B513" s="1">
        <v>9</v>
      </c>
      <c r="C513" s="25">
        <v>1</v>
      </c>
      <c r="D513" s="14">
        <v>1771.4952991453</v>
      </c>
      <c r="E513" s="14">
        <v>1279.48888888889</v>
      </c>
      <c r="F513" s="15" t="s">
        <v>71</v>
      </c>
      <c r="G513" s="1" t="s">
        <v>74</v>
      </c>
    </row>
    <row r="514" ht="15.75" spans="1:7">
      <c r="A514" s="12">
        <v>513</v>
      </c>
      <c r="B514" s="1">
        <v>9</v>
      </c>
      <c r="C514" s="25">
        <v>1</v>
      </c>
      <c r="D514" s="14">
        <v>1183.66282051282</v>
      </c>
      <c r="E514" s="14">
        <v>1231.50256410256</v>
      </c>
      <c r="F514" s="15" t="s">
        <v>74</v>
      </c>
      <c r="G514" s="1" t="s">
        <v>76</v>
      </c>
    </row>
    <row r="515" ht="15.75" spans="1:7">
      <c r="A515" s="12">
        <v>514</v>
      </c>
      <c r="B515" s="1">
        <v>9</v>
      </c>
      <c r="C515" s="25">
        <v>4</v>
      </c>
      <c r="D515" s="14">
        <v>1144.67393162393</v>
      </c>
      <c r="E515" s="14">
        <v>916.592307692308</v>
      </c>
      <c r="F515" s="15" t="s">
        <v>76</v>
      </c>
      <c r="G515" s="1" t="s">
        <v>82</v>
      </c>
    </row>
    <row r="516" ht="15.75" spans="1:7">
      <c r="A516" s="12">
        <v>515</v>
      </c>
      <c r="B516" s="1">
        <v>9</v>
      </c>
      <c r="C516" s="25">
        <v>1</v>
      </c>
      <c r="D516" s="14">
        <v>1342.61752136752</v>
      </c>
      <c r="E516" s="14">
        <v>643.670085470085</v>
      </c>
      <c r="F516" s="15" t="s">
        <v>82</v>
      </c>
      <c r="G516" s="1" t="s">
        <v>86</v>
      </c>
    </row>
    <row r="517" ht="15.75" spans="1:7">
      <c r="A517" s="12">
        <v>516</v>
      </c>
      <c r="B517" s="1">
        <v>9</v>
      </c>
      <c r="C517" s="25">
        <v>1</v>
      </c>
      <c r="D517" s="14">
        <v>1204.65683760684</v>
      </c>
      <c r="E517" s="14">
        <v>316.763247863248</v>
      </c>
      <c r="F517" s="15" t="s">
        <v>86</v>
      </c>
      <c r="G517" s="1" t="s">
        <v>86</v>
      </c>
    </row>
    <row r="518" ht="15.75" spans="1:7">
      <c r="A518" s="12">
        <v>517</v>
      </c>
      <c r="B518" s="1">
        <v>9</v>
      </c>
      <c r="C518" s="25">
        <v>1</v>
      </c>
      <c r="D518" s="14">
        <v>1624.53717948718</v>
      </c>
      <c r="E518" s="14">
        <v>385.743589743589</v>
      </c>
      <c r="F518" s="15" t="s">
        <v>86</v>
      </c>
      <c r="G518" s="1" t="s">
        <v>87</v>
      </c>
    </row>
    <row r="519" ht="15.75" spans="1:7">
      <c r="A519" s="12">
        <v>518</v>
      </c>
      <c r="B519" s="1">
        <v>9</v>
      </c>
      <c r="C519" s="25">
        <v>1</v>
      </c>
      <c r="D519" s="14">
        <v>1777.49358974359</v>
      </c>
      <c r="E519" s="14">
        <v>325.760683760684</v>
      </c>
      <c r="F519" s="15" t="s">
        <v>87</v>
      </c>
      <c r="G519" s="1" t="s">
        <v>87</v>
      </c>
    </row>
    <row r="520" ht="15.75" spans="1:7">
      <c r="A520" s="12">
        <v>519</v>
      </c>
      <c r="B520" s="1">
        <v>9</v>
      </c>
      <c r="C520" s="25">
        <v>1</v>
      </c>
      <c r="D520" s="14">
        <v>1828.47905982906</v>
      </c>
      <c r="E520" s="14">
        <v>322.761538461538</v>
      </c>
      <c r="F520" s="15" t="s">
        <v>87</v>
      </c>
      <c r="G520" s="1" t="s">
        <v>89</v>
      </c>
    </row>
    <row r="521" ht="15.75" spans="1:7">
      <c r="A521" s="12">
        <v>520</v>
      </c>
      <c r="B521" s="1">
        <v>9</v>
      </c>
      <c r="C521" s="25">
        <v>1</v>
      </c>
      <c r="D521" s="14">
        <v>2329.33632478633</v>
      </c>
      <c r="E521" s="14">
        <v>403.738461538461</v>
      </c>
      <c r="F521" s="15" t="s">
        <v>89</v>
      </c>
      <c r="G521" s="1" t="s">
        <v>89</v>
      </c>
    </row>
    <row r="522" ht="15.75" spans="1:7">
      <c r="A522" s="12">
        <v>521</v>
      </c>
      <c r="B522" s="1">
        <v>9</v>
      </c>
      <c r="C522" s="25">
        <v>2</v>
      </c>
      <c r="D522" s="14">
        <v>2308.34230769231</v>
      </c>
      <c r="E522" s="14">
        <v>430.730769230769</v>
      </c>
      <c r="F522" s="15" t="s">
        <v>89</v>
      </c>
      <c r="G522" s="1" t="s">
        <v>91</v>
      </c>
    </row>
    <row r="523" ht="15.75" spans="1:7">
      <c r="A523" s="12">
        <v>522</v>
      </c>
      <c r="B523" s="1">
        <v>9</v>
      </c>
      <c r="C523" s="25">
        <v>1</v>
      </c>
      <c r="D523" s="14">
        <v>2200.37307692308</v>
      </c>
      <c r="E523" s="14">
        <v>730.645299145299</v>
      </c>
      <c r="F523" s="15" t="s">
        <v>91</v>
      </c>
      <c r="G523" s="1" t="s">
        <v>93</v>
      </c>
    </row>
    <row r="524" ht="15.75" spans="1:7">
      <c r="A524" s="12">
        <v>523</v>
      </c>
      <c r="B524" s="1">
        <v>9</v>
      </c>
      <c r="C524" s="25">
        <v>1</v>
      </c>
      <c r="D524" s="14">
        <v>2119.39615384615</v>
      </c>
      <c r="E524" s="14">
        <v>787.62905982906</v>
      </c>
      <c r="F524" s="15" t="s">
        <v>93</v>
      </c>
      <c r="G524" s="1" t="s">
        <v>96</v>
      </c>
    </row>
    <row r="525" ht="15.75" spans="1:7">
      <c r="A525" s="12">
        <v>524</v>
      </c>
      <c r="B525" s="1">
        <v>9</v>
      </c>
      <c r="C525" s="25">
        <v>1</v>
      </c>
      <c r="D525" s="14">
        <v>2245.36025641026</v>
      </c>
      <c r="E525" s="14">
        <v>1030.55982905983</v>
      </c>
      <c r="F525" s="15" t="s">
        <v>96</v>
      </c>
      <c r="G525" s="1" t="s">
        <v>97</v>
      </c>
    </row>
    <row r="526" ht="15.75" spans="1:7">
      <c r="A526" s="12">
        <v>525</v>
      </c>
      <c r="B526" s="1">
        <v>9</v>
      </c>
      <c r="C526" s="25">
        <v>2</v>
      </c>
      <c r="D526" s="14">
        <v>2224.36623931624</v>
      </c>
      <c r="E526" s="14">
        <v>1075.54700854701</v>
      </c>
      <c r="F526" s="15" t="s">
        <v>97</v>
      </c>
      <c r="G526" s="1" t="s">
        <v>99</v>
      </c>
    </row>
    <row r="527" ht="15.75" spans="1:7">
      <c r="A527" s="12">
        <v>526</v>
      </c>
      <c r="B527" s="1">
        <v>9</v>
      </c>
      <c r="C527" s="25">
        <v>1</v>
      </c>
      <c r="D527" s="14">
        <v>2332.33547008547</v>
      </c>
      <c r="E527" s="14">
        <v>1231.50256410256</v>
      </c>
      <c r="F527" s="15" t="s">
        <v>99</v>
      </c>
      <c r="G527" s="1" t="s">
        <v>100</v>
      </c>
    </row>
    <row r="528" ht="15.75" spans="1:7">
      <c r="A528" s="12">
        <v>527</v>
      </c>
      <c r="B528" s="1">
        <v>9</v>
      </c>
      <c r="C528" s="25">
        <v>1</v>
      </c>
      <c r="D528" s="14">
        <v>2284.34914529915</v>
      </c>
      <c r="E528" s="14">
        <v>1294.48461538462</v>
      </c>
      <c r="F528" s="15" t="s">
        <v>100</v>
      </c>
      <c r="G528" s="29">
        <v>10.1</v>
      </c>
    </row>
    <row r="529" ht="15.75" spans="1:7">
      <c r="A529" s="12">
        <v>528</v>
      </c>
      <c r="B529" s="1">
        <v>9</v>
      </c>
      <c r="C529" s="25">
        <v>1</v>
      </c>
      <c r="D529" s="14">
        <v>1228.65</v>
      </c>
      <c r="E529" s="14">
        <v>1051.55384615385</v>
      </c>
      <c r="F529" s="15" t="s">
        <v>104</v>
      </c>
      <c r="G529" s="1" t="s">
        <v>105</v>
      </c>
    </row>
    <row r="530" ht="15.75" spans="1:7">
      <c r="A530" s="12">
        <v>529</v>
      </c>
      <c r="B530" s="1">
        <v>9</v>
      </c>
      <c r="C530" s="25">
        <v>2</v>
      </c>
      <c r="D530" s="14">
        <v>1375.60811965812</v>
      </c>
      <c r="E530" s="14">
        <v>511.707692307692</v>
      </c>
      <c r="F530" s="15" t="s">
        <v>105</v>
      </c>
      <c r="G530" s="1" t="s">
        <v>105</v>
      </c>
    </row>
    <row r="531" ht="15.75" spans="1:7">
      <c r="A531" s="12">
        <v>530</v>
      </c>
      <c r="B531" s="1">
        <v>9</v>
      </c>
      <c r="C531" s="25">
        <v>1</v>
      </c>
      <c r="D531" s="14">
        <v>1381.60641025641</v>
      </c>
      <c r="E531" s="14">
        <v>460.722222222222</v>
      </c>
      <c r="F531" s="15" t="s">
        <v>105</v>
      </c>
      <c r="G531" s="1" t="s">
        <v>106</v>
      </c>
    </row>
    <row r="532" ht="15.75" spans="1:7">
      <c r="A532" s="12">
        <v>531</v>
      </c>
      <c r="B532" s="1">
        <v>9</v>
      </c>
      <c r="C532" s="25">
        <v>1</v>
      </c>
      <c r="D532" s="14">
        <v>1324.62264957265</v>
      </c>
      <c r="E532" s="14">
        <v>286.771794871795</v>
      </c>
      <c r="F532" s="15" t="s">
        <v>106</v>
      </c>
      <c r="G532" s="1" t="s">
        <v>108</v>
      </c>
    </row>
    <row r="533" ht="15.75" spans="1:7">
      <c r="A533" s="12">
        <v>532</v>
      </c>
      <c r="B533" s="1">
        <v>9</v>
      </c>
      <c r="C533" s="25">
        <v>1</v>
      </c>
      <c r="D533" s="14">
        <v>1741.50384615385</v>
      </c>
      <c r="E533" s="14">
        <v>445.726495726496</v>
      </c>
      <c r="F533" s="15" t="s">
        <v>108</v>
      </c>
      <c r="G533" s="1" t="s">
        <v>110</v>
      </c>
    </row>
    <row r="534" ht="15.75" spans="1:7">
      <c r="A534" s="12">
        <v>533</v>
      </c>
      <c r="B534" s="1">
        <v>9</v>
      </c>
      <c r="C534" s="25">
        <v>4</v>
      </c>
      <c r="D534" s="14">
        <v>1747.50213675214</v>
      </c>
      <c r="E534" s="14">
        <v>499.711111111111</v>
      </c>
      <c r="F534" s="15" t="s">
        <v>110</v>
      </c>
      <c r="G534" s="1" t="s">
        <v>189</v>
      </c>
    </row>
    <row r="535" ht="15.75" spans="1:7">
      <c r="A535" s="12">
        <v>534</v>
      </c>
      <c r="B535" s="1">
        <v>9</v>
      </c>
      <c r="C535" s="25">
        <v>4</v>
      </c>
      <c r="D535" s="14">
        <v>2008.42777777778</v>
      </c>
      <c r="E535" s="14">
        <v>301.767521367521</v>
      </c>
      <c r="F535" s="15" t="s">
        <v>189</v>
      </c>
      <c r="G535" s="1" t="s">
        <v>112</v>
      </c>
    </row>
    <row r="536" ht="15.75" spans="1:7">
      <c r="A536" s="12">
        <v>535</v>
      </c>
      <c r="B536" s="1">
        <v>9</v>
      </c>
      <c r="C536" s="25">
        <v>1</v>
      </c>
      <c r="D536" s="14">
        <v>2137.39102564103</v>
      </c>
      <c r="E536" s="14">
        <v>793.62735042735</v>
      </c>
      <c r="F536" s="15" t="s">
        <v>112</v>
      </c>
      <c r="G536" s="1" t="s">
        <v>113</v>
      </c>
    </row>
    <row r="537" ht="15.75" spans="1:7">
      <c r="A537" s="12">
        <v>536</v>
      </c>
      <c r="B537" s="1">
        <v>9</v>
      </c>
      <c r="C537" s="25">
        <v>1</v>
      </c>
      <c r="D537" s="14">
        <v>2197.37393162393</v>
      </c>
      <c r="E537" s="14">
        <v>1213.50769230769</v>
      </c>
      <c r="F537" s="15" t="s">
        <v>113</v>
      </c>
      <c r="G537" s="1" t="s">
        <v>113</v>
      </c>
    </row>
    <row r="538" ht="15.75" spans="1:7">
      <c r="A538" s="12">
        <v>537</v>
      </c>
      <c r="B538" s="1">
        <v>9</v>
      </c>
      <c r="C538" s="25">
        <v>1</v>
      </c>
      <c r="D538" s="14">
        <v>2194.37478632479</v>
      </c>
      <c r="E538" s="14">
        <v>1015.5641025641</v>
      </c>
      <c r="F538" s="15" t="s">
        <v>113</v>
      </c>
      <c r="G538" s="1" t="s">
        <v>115</v>
      </c>
    </row>
    <row r="539" ht="15.75" spans="1:7">
      <c r="A539" s="12">
        <v>538</v>
      </c>
      <c r="B539" s="1">
        <v>9</v>
      </c>
      <c r="C539" s="25">
        <v>1</v>
      </c>
      <c r="D539" s="14">
        <v>2275.35170940171</v>
      </c>
      <c r="E539" s="14">
        <v>1123.53333333333</v>
      </c>
      <c r="F539" s="15" t="s">
        <v>115</v>
      </c>
      <c r="G539" s="1" t="s">
        <v>118</v>
      </c>
    </row>
    <row r="540" ht="15.75" spans="1:7">
      <c r="A540" s="12">
        <v>539</v>
      </c>
      <c r="B540" s="1">
        <v>9</v>
      </c>
      <c r="C540" s="25">
        <v>1</v>
      </c>
      <c r="D540" s="14">
        <v>2275.35170940171</v>
      </c>
      <c r="E540" s="14">
        <v>1312.47948717949</v>
      </c>
      <c r="F540" s="15" t="s">
        <v>118</v>
      </c>
      <c r="G540" s="1">
        <v>10.34</v>
      </c>
    </row>
    <row r="541" ht="15.75" spans="1:7">
      <c r="A541" s="12">
        <v>540</v>
      </c>
      <c r="B541" s="1">
        <v>9</v>
      </c>
      <c r="C541" s="26">
        <v>3</v>
      </c>
      <c r="D541" s="14">
        <v>1871</v>
      </c>
      <c r="E541" s="14">
        <v>1312</v>
      </c>
      <c r="F541" s="15" t="s">
        <v>231</v>
      </c>
      <c r="G541" s="29">
        <v>10.4</v>
      </c>
    </row>
    <row r="542" ht="15.75" spans="1:7">
      <c r="A542" s="12">
        <v>541</v>
      </c>
      <c r="B542" s="1">
        <v>10</v>
      </c>
      <c r="C542" s="25">
        <v>1</v>
      </c>
      <c r="D542" s="14">
        <v>1876.46538461538</v>
      </c>
      <c r="E542" s="14">
        <v>2050.26923076923</v>
      </c>
      <c r="F542" s="15" t="s">
        <v>129</v>
      </c>
      <c r="G542" s="1" t="s">
        <v>130</v>
      </c>
    </row>
    <row r="543" ht="15.75" spans="1:7">
      <c r="A543" s="12">
        <v>542</v>
      </c>
      <c r="B543" s="1">
        <v>10</v>
      </c>
      <c r="C543" s="25">
        <v>1</v>
      </c>
      <c r="D543" s="14">
        <v>1795.48846153846</v>
      </c>
      <c r="E543" s="14">
        <v>1567.40683760684</v>
      </c>
      <c r="F543" s="15" t="s">
        <v>130</v>
      </c>
      <c r="G543" s="1" t="s">
        <v>232</v>
      </c>
    </row>
    <row r="544" ht="15.75" spans="1:7">
      <c r="A544" s="12">
        <v>543</v>
      </c>
      <c r="B544" s="1">
        <v>10</v>
      </c>
      <c r="C544" s="25">
        <v>1</v>
      </c>
      <c r="D544" s="14">
        <v>1717.51068376068</v>
      </c>
      <c r="E544" s="14">
        <v>1501.42564102564</v>
      </c>
      <c r="F544" s="15" t="s">
        <v>232</v>
      </c>
      <c r="G544" s="1" t="s">
        <v>233</v>
      </c>
    </row>
    <row r="545" ht="15.75" spans="1:7">
      <c r="A545" s="12">
        <v>544</v>
      </c>
      <c r="B545" s="1">
        <v>10</v>
      </c>
      <c r="C545" s="25">
        <v>1</v>
      </c>
      <c r="D545" s="14">
        <v>1804.4858974359</v>
      </c>
      <c r="E545" s="14">
        <v>1309.48034188034</v>
      </c>
      <c r="F545" s="15" t="s">
        <v>233</v>
      </c>
      <c r="G545" s="1" t="s">
        <v>234</v>
      </c>
    </row>
    <row r="546" ht="15.75" spans="1:7">
      <c r="A546" s="12">
        <v>545</v>
      </c>
      <c r="B546" s="1">
        <v>10</v>
      </c>
      <c r="C546" s="25">
        <v>1</v>
      </c>
      <c r="D546" s="14">
        <v>1729.50726495727</v>
      </c>
      <c r="E546" s="14">
        <v>997.569230769231</v>
      </c>
      <c r="F546" s="15" t="s">
        <v>234</v>
      </c>
      <c r="G546" s="1" t="s">
        <v>133</v>
      </c>
    </row>
    <row r="547" ht="15.75" spans="1:7">
      <c r="A547" s="12">
        <v>546</v>
      </c>
      <c r="B547" s="1">
        <v>10</v>
      </c>
      <c r="C547" s="25">
        <v>4</v>
      </c>
      <c r="D547" s="14">
        <v>1891.46111111111</v>
      </c>
      <c r="E547" s="14">
        <v>739.642735042735</v>
      </c>
      <c r="F547" s="15" t="s">
        <v>133</v>
      </c>
      <c r="G547" s="1" t="s">
        <v>194</v>
      </c>
    </row>
    <row r="548" ht="15.75" spans="1:7">
      <c r="A548" s="12">
        <v>547</v>
      </c>
      <c r="B548" s="1">
        <v>10</v>
      </c>
      <c r="C548" s="25">
        <v>1</v>
      </c>
      <c r="D548" s="14">
        <v>2131.39273504274</v>
      </c>
      <c r="E548" s="14">
        <v>508.708547008547</v>
      </c>
      <c r="F548" s="15" t="s">
        <v>194</v>
      </c>
      <c r="G548" s="1" t="s">
        <v>196</v>
      </c>
    </row>
    <row r="549" ht="15.75" spans="1:7">
      <c r="A549" s="12">
        <v>548</v>
      </c>
      <c r="B549" s="1">
        <v>10</v>
      </c>
      <c r="C549" s="25">
        <v>1</v>
      </c>
      <c r="D549" s="14">
        <v>2149.38760683761</v>
      </c>
      <c r="E549" s="14">
        <v>880.602564102564</v>
      </c>
      <c r="F549" s="15" t="s">
        <v>196</v>
      </c>
      <c r="G549" s="1" t="s">
        <v>235</v>
      </c>
    </row>
    <row r="550" ht="15.75" spans="1:7">
      <c r="A550" s="12">
        <v>549</v>
      </c>
      <c r="B550" s="1">
        <v>10</v>
      </c>
      <c r="C550" s="25">
        <v>1</v>
      </c>
      <c r="D550" s="14">
        <v>2287.34829059829</v>
      </c>
      <c r="E550" s="14">
        <v>1189.51452991453</v>
      </c>
      <c r="F550" s="15" t="s">
        <v>235</v>
      </c>
      <c r="G550" s="15" t="s">
        <v>199</v>
      </c>
    </row>
    <row r="551" ht="15.75" spans="1:7">
      <c r="A551" s="12">
        <v>550</v>
      </c>
      <c r="B551" s="1">
        <v>10</v>
      </c>
      <c r="C551" s="26">
        <v>3</v>
      </c>
      <c r="D551" s="14">
        <v>1530.5</v>
      </c>
      <c r="E551" s="14">
        <v>2340.5</v>
      </c>
      <c r="F551" s="15" t="s">
        <v>199</v>
      </c>
      <c r="G551" s="15" t="s">
        <v>205</v>
      </c>
    </row>
    <row r="552" ht="15.75" spans="1:7">
      <c r="A552" s="12">
        <v>551</v>
      </c>
      <c r="B552" s="1">
        <v>11</v>
      </c>
      <c r="C552" s="25">
        <v>1</v>
      </c>
      <c r="D552" s="14">
        <v>1924.45170940171</v>
      </c>
      <c r="E552" s="14">
        <v>2062.26581196581</v>
      </c>
      <c r="F552" s="15" t="s">
        <v>105</v>
      </c>
      <c r="G552" s="1" t="s">
        <v>106</v>
      </c>
    </row>
    <row r="553" ht="15.75" spans="1:7">
      <c r="A553" s="12">
        <v>552</v>
      </c>
      <c r="B553" s="1">
        <v>11</v>
      </c>
      <c r="C553" s="25">
        <v>1</v>
      </c>
      <c r="D553" s="14">
        <v>1609.54145299145</v>
      </c>
      <c r="E553" s="14">
        <v>2011.28034188034</v>
      </c>
      <c r="F553" s="15" t="s">
        <v>106</v>
      </c>
      <c r="G553" s="1" t="s">
        <v>109</v>
      </c>
    </row>
    <row r="554" ht="15.75" spans="1:7">
      <c r="A554" s="12">
        <v>553</v>
      </c>
      <c r="B554" s="1">
        <v>11</v>
      </c>
      <c r="C554" s="25">
        <v>1</v>
      </c>
      <c r="D554" s="14">
        <v>1753.50042735043</v>
      </c>
      <c r="E554" s="14">
        <v>1324.47606837607</v>
      </c>
      <c r="F554" s="15" t="s">
        <v>109</v>
      </c>
      <c r="G554" s="1" t="s">
        <v>111</v>
      </c>
    </row>
    <row r="555" ht="15.75" spans="1:7">
      <c r="A555" s="12">
        <v>554</v>
      </c>
      <c r="B555" s="1">
        <v>11</v>
      </c>
      <c r="C555" s="25">
        <v>1</v>
      </c>
      <c r="D555" s="14">
        <v>1678.5217948718</v>
      </c>
      <c r="E555" s="14">
        <v>1303.48205128205</v>
      </c>
      <c r="F555" s="15" t="s">
        <v>111</v>
      </c>
      <c r="G555" s="1" t="s">
        <v>111</v>
      </c>
    </row>
    <row r="556" ht="15.75" spans="1:7">
      <c r="A556" s="12">
        <v>555</v>
      </c>
      <c r="B556" s="1">
        <v>11</v>
      </c>
      <c r="C556" s="25">
        <v>1</v>
      </c>
      <c r="D556" s="14">
        <v>1831.47820512821</v>
      </c>
      <c r="E556" s="14">
        <v>1288.48632478632</v>
      </c>
      <c r="F556" s="15" t="s">
        <v>111</v>
      </c>
      <c r="G556" s="1" t="s">
        <v>189</v>
      </c>
    </row>
    <row r="557" ht="15.75" spans="1:7">
      <c r="A557" s="12">
        <v>556</v>
      </c>
      <c r="B557" s="1">
        <v>11</v>
      </c>
      <c r="C557" s="25">
        <v>1</v>
      </c>
      <c r="D557" s="14">
        <v>1780.49273504274</v>
      </c>
      <c r="E557" s="14">
        <v>1135.52991452991</v>
      </c>
      <c r="F557" s="15" t="s">
        <v>189</v>
      </c>
      <c r="G557" s="1" t="s">
        <v>190</v>
      </c>
    </row>
    <row r="558" ht="15.75" spans="1:7">
      <c r="A558" s="12">
        <v>557</v>
      </c>
      <c r="B558" s="1">
        <v>11</v>
      </c>
      <c r="C558" s="25">
        <v>1</v>
      </c>
      <c r="D558" s="14">
        <v>1723.50897435897</v>
      </c>
      <c r="E558" s="14">
        <v>1051.55384615385</v>
      </c>
      <c r="F558" s="15" t="s">
        <v>190</v>
      </c>
      <c r="G558" s="1" t="s">
        <v>112</v>
      </c>
    </row>
    <row r="559" ht="15.75" spans="1:7">
      <c r="A559" s="12">
        <v>558</v>
      </c>
      <c r="B559" s="1">
        <v>11</v>
      </c>
      <c r="C559" s="25">
        <v>1</v>
      </c>
      <c r="D559" s="14">
        <v>1405.59957264957</v>
      </c>
      <c r="E559" s="14">
        <v>1270.49145299145</v>
      </c>
      <c r="F559" s="15" t="s">
        <v>112</v>
      </c>
      <c r="G559" s="1" t="s">
        <v>191</v>
      </c>
    </row>
    <row r="560" ht="15.75" spans="1:7">
      <c r="A560" s="12">
        <v>559</v>
      </c>
      <c r="B560" s="1">
        <v>11</v>
      </c>
      <c r="C560" s="25">
        <v>1</v>
      </c>
      <c r="D560" s="14">
        <v>1387.6047008547</v>
      </c>
      <c r="E560" s="14">
        <v>1090.54273504274</v>
      </c>
      <c r="F560" s="15" t="s">
        <v>191</v>
      </c>
      <c r="G560" s="1" t="s">
        <v>192</v>
      </c>
    </row>
    <row r="561" ht="15.75" spans="1:7">
      <c r="A561" s="12">
        <v>560</v>
      </c>
      <c r="B561" s="1">
        <v>11</v>
      </c>
      <c r="C561" s="25">
        <v>1</v>
      </c>
      <c r="D561" s="14">
        <v>1186.66196581197</v>
      </c>
      <c r="E561" s="14">
        <v>1048.5547008547</v>
      </c>
      <c r="F561" s="15" t="s">
        <v>192</v>
      </c>
      <c r="G561" s="1" t="s">
        <v>114</v>
      </c>
    </row>
    <row r="562" ht="15.75" spans="1:7">
      <c r="A562" s="12">
        <v>561</v>
      </c>
      <c r="B562" s="1">
        <v>11</v>
      </c>
      <c r="C562" s="25">
        <v>1</v>
      </c>
      <c r="D562" s="14">
        <v>1333.62008547009</v>
      </c>
      <c r="E562" s="14">
        <v>958.580341880342</v>
      </c>
      <c r="F562" s="15" t="s">
        <v>114</v>
      </c>
      <c r="G562" s="1" t="s">
        <v>118</v>
      </c>
    </row>
    <row r="563" ht="15.75" spans="1:7">
      <c r="A563" s="12">
        <v>562</v>
      </c>
      <c r="B563" s="1">
        <v>11</v>
      </c>
      <c r="C563" s="25">
        <v>1</v>
      </c>
      <c r="D563" s="14">
        <v>1366.61068376068</v>
      </c>
      <c r="E563" s="14">
        <v>649.668376068376</v>
      </c>
      <c r="F563" s="15" t="s">
        <v>118</v>
      </c>
      <c r="G563" s="1" t="s">
        <v>119</v>
      </c>
    </row>
    <row r="564" ht="15.75" spans="1:7">
      <c r="A564" s="12">
        <v>563</v>
      </c>
      <c r="B564" s="1">
        <v>11</v>
      </c>
      <c r="C564" s="25">
        <v>1</v>
      </c>
      <c r="D564" s="14">
        <v>1264.63974358974</v>
      </c>
      <c r="E564" s="14">
        <v>532.701709401709</v>
      </c>
      <c r="F564" s="15" t="s">
        <v>119</v>
      </c>
      <c r="G564" s="1" t="s">
        <v>122</v>
      </c>
    </row>
    <row r="565" ht="15.75" spans="1:7">
      <c r="A565" s="12">
        <v>564</v>
      </c>
      <c r="B565" s="1">
        <v>11</v>
      </c>
      <c r="C565" s="25">
        <v>1</v>
      </c>
      <c r="D565" s="14">
        <v>1195.6594017094</v>
      </c>
      <c r="E565" s="14">
        <v>316.763247863248</v>
      </c>
      <c r="F565" s="15" t="s">
        <v>122</v>
      </c>
      <c r="G565" s="1" t="s">
        <v>193</v>
      </c>
    </row>
    <row r="566" ht="15.75" spans="1:7">
      <c r="A566" s="12">
        <v>565</v>
      </c>
      <c r="B566" s="1">
        <v>11</v>
      </c>
      <c r="C566" s="25">
        <v>1</v>
      </c>
      <c r="D566" s="14">
        <v>1387.6047008547</v>
      </c>
      <c r="E566" s="14">
        <v>526.703418803419</v>
      </c>
      <c r="F566" s="15" t="s">
        <v>193</v>
      </c>
      <c r="G566" s="1" t="s">
        <v>125</v>
      </c>
    </row>
    <row r="567" ht="15.75" spans="1:7">
      <c r="A567" s="12">
        <v>566</v>
      </c>
      <c r="B567" s="1">
        <v>11</v>
      </c>
      <c r="C567" s="25">
        <v>1</v>
      </c>
      <c r="D567" s="14">
        <v>1345.61666666667</v>
      </c>
      <c r="E567" s="14">
        <v>280.773504273504</v>
      </c>
      <c r="F567" s="15" t="s">
        <v>125</v>
      </c>
      <c r="G567" s="1" t="s">
        <v>127</v>
      </c>
    </row>
    <row r="568" ht="15.75" spans="1:7">
      <c r="A568" s="12">
        <v>567</v>
      </c>
      <c r="B568" s="1">
        <v>11</v>
      </c>
      <c r="C568" s="25">
        <v>1</v>
      </c>
      <c r="D568" s="14">
        <v>1762.49786324786</v>
      </c>
      <c r="E568" s="14">
        <v>397.740170940171</v>
      </c>
      <c r="F568" s="15" t="s">
        <v>127</v>
      </c>
      <c r="G568" s="1" t="s">
        <v>128</v>
      </c>
    </row>
    <row r="569" ht="15.75" spans="1:7">
      <c r="A569" s="12">
        <v>568</v>
      </c>
      <c r="B569" s="1">
        <v>11</v>
      </c>
      <c r="C569" s="25">
        <v>1</v>
      </c>
      <c r="D569" s="14">
        <v>2116.39700854701</v>
      </c>
      <c r="E569" s="14">
        <v>292.770085470085</v>
      </c>
      <c r="F569" s="15" t="s">
        <v>128</v>
      </c>
      <c r="G569" s="1" t="s">
        <v>131</v>
      </c>
    </row>
    <row r="570" ht="15.75" spans="1:7">
      <c r="A570" s="12">
        <v>569</v>
      </c>
      <c r="B570" s="1">
        <v>11</v>
      </c>
      <c r="C570" s="25">
        <v>1</v>
      </c>
      <c r="D570" s="14">
        <v>2308.34230769231</v>
      </c>
      <c r="E570" s="14">
        <v>394.741025641025</v>
      </c>
      <c r="F570" s="15" t="s">
        <v>131</v>
      </c>
      <c r="G570" s="1" t="s">
        <v>236</v>
      </c>
    </row>
    <row r="571" ht="15.75" spans="1:7">
      <c r="A571" s="12">
        <v>570</v>
      </c>
      <c r="B571" s="1">
        <v>11</v>
      </c>
      <c r="C571" s="25">
        <v>1</v>
      </c>
      <c r="D571" s="14">
        <v>2329.33632478633</v>
      </c>
      <c r="E571" s="14">
        <v>553.695726495726</v>
      </c>
      <c r="F571" s="15" t="s">
        <v>236</v>
      </c>
      <c r="G571" s="1" t="s">
        <v>237</v>
      </c>
    </row>
    <row r="572" ht="15.75" spans="1:7">
      <c r="A572" s="12">
        <v>571</v>
      </c>
      <c r="B572" s="1">
        <v>11</v>
      </c>
      <c r="C572" s="25">
        <v>1</v>
      </c>
      <c r="D572" s="14">
        <v>2374.32350427351</v>
      </c>
      <c r="E572" s="14">
        <v>679.659829059829</v>
      </c>
      <c r="F572" s="15" t="s">
        <v>237</v>
      </c>
      <c r="G572" s="1" t="s">
        <v>238</v>
      </c>
    </row>
    <row r="573" ht="15.75" spans="1:7">
      <c r="A573" s="12">
        <v>572</v>
      </c>
      <c r="B573" s="1">
        <v>11</v>
      </c>
      <c r="C573" s="25">
        <v>1</v>
      </c>
      <c r="D573" s="14">
        <v>2173.38076923077</v>
      </c>
      <c r="E573" s="14">
        <v>823.618803418804</v>
      </c>
      <c r="F573" s="15" t="s">
        <v>238</v>
      </c>
      <c r="G573" s="1" t="s">
        <v>239</v>
      </c>
    </row>
    <row r="574" ht="15.75" spans="1:7">
      <c r="A574" s="12">
        <v>573</v>
      </c>
      <c r="B574" s="1">
        <v>11</v>
      </c>
      <c r="C574" s="25">
        <v>1</v>
      </c>
      <c r="D574" s="14">
        <v>2362.32692307692</v>
      </c>
      <c r="E574" s="14">
        <v>925.589743589744</v>
      </c>
      <c r="F574" s="15" t="s">
        <v>239</v>
      </c>
      <c r="G574" s="1" t="s">
        <v>240</v>
      </c>
    </row>
    <row r="575" ht="15.75" spans="1:7">
      <c r="A575" s="12">
        <v>574</v>
      </c>
      <c r="B575" s="1">
        <v>11</v>
      </c>
      <c r="C575" s="25">
        <v>1</v>
      </c>
      <c r="D575" s="14">
        <v>2164.38333333333</v>
      </c>
      <c r="E575" s="14">
        <v>1186.51538461538</v>
      </c>
      <c r="F575" s="15" t="s">
        <v>240</v>
      </c>
      <c r="G575" s="1" t="s">
        <v>195</v>
      </c>
    </row>
    <row r="576" ht="15.75" spans="1:7">
      <c r="A576" s="12">
        <v>575</v>
      </c>
      <c r="B576" s="1">
        <v>11</v>
      </c>
      <c r="C576" s="25">
        <v>1</v>
      </c>
      <c r="D576" s="14">
        <v>2284.34914529915</v>
      </c>
      <c r="E576" s="14">
        <v>1189.51452991453</v>
      </c>
      <c r="F576" s="15" t="s">
        <v>195</v>
      </c>
      <c r="G576" s="1" t="s">
        <v>196</v>
      </c>
    </row>
    <row r="577" ht="15.75" spans="1:7">
      <c r="A577" s="12">
        <v>576</v>
      </c>
      <c r="B577" s="1">
        <v>11</v>
      </c>
      <c r="C577" s="25">
        <v>1</v>
      </c>
      <c r="D577" s="14">
        <v>2338.33376068376</v>
      </c>
      <c r="E577" s="14">
        <v>1255.49572649573</v>
      </c>
      <c r="F577" s="15" t="s">
        <v>196</v>
      </c>
      <c r="G577" s="1">
        <v>11.12</v>
      </c>
    </row>
    <row r="578" ht="15.75" spans="1:7">
      <c r="A578" s="12">
        <v>577</v>
      </c>
      <c r="B578" s="1">
        <v>11</v>
      </c>
      <c r="C578" s="25">
        <v>1</v>
      </c>
      <c r="D578" s="14">
        <v>1414.59700854701</v>
      </c>
      <c r="E578" s="14">
        <v>1291.48547008547</v>
      </c>
      <c r="F578" s="15" t="s">
        <v>199</v>
      </c>
      <c r="G578" s="1">
        <v>11.16</v>
      </c>
    </row>
    <row r="579" ht="15.75" spans="1:7">
      <c r="A579" s="12">
        <v>578</v>
      </c>
      <c r="B579" s="1">
        <v>11</v>
      </c>
      <c r="C579" s="25">
        <v>1</v>
      </c>
      <c r="D579" s="14">
        <v>1426.59358974359</v>
      </c>
      <c r="E579" s="14">
        <v>1297.48376068376</v>
      </c>
      <c r="F579" s="15" t="s">
        <v>204</v>
      </c>
      <c r="G579" s="1" t="s">
        <v>205</v>
      </c>
    </row>
    <row r="580" ht="15.75" spans="1:7">
      <c r="A580" s="12">
        <v>579</v>
      </c>
      <c r="B580" s="1">
        <v>11</v>
      </c>
      <c r="C580" s="25">
        <v>1</v>
      </c>
      <c r="D580" s="14">
        <v>1372.60897435897</v>
      </c>
      <c r="E580" s="14">
        <v>1219.50598290598</v>
      </c>
      <c r="F580" s="15" t="s">
        <v>204</v>
      </c>
      <c r="G580" s="1" t="s">
        <v>205</v>
      </c>
    </row>
    <row r="581" ht="15.75" spans="1:7">
      <c r="A581" s="12">
        <v>580</v>
      </c>
      <c r="B581" s="1">
        <v>11</v>
      </c>
      <c r="C581" s="25">
        <v>1</v>
      </c>
      <c r="D581" s="14">
        <v>1273.63717948718</v>
      </c>
      <c r="E581" s="14">
        <v>1291.48547008547</v>
      </c>
      <c r="F581" s="15" t="s">
        <v>204</v>
      </c>
      <c r="G581" s="1" t="s">
        <v>135</v>
      </c>
    </row>
    <row r="582" ht="15.75" spans="1:7">
      <c r="A582" s="12">
        <v>581</v>
      </c>
      <c r="B582" s="1">
        <v>11</v>
      </c>
      <c r="C582" s="25">
        <v>1</v>
      </c>
      <c r="D582" s="14">
        <v>1288.63290598291</v>
      </c>
      <c r="E582" s="14">
        <v>1147.5264957265</v>
      </c>
      <c r="F582" s="15" t="s">
        <v>135</v>
      </c>
      <c r="G582" s="1" t="s">
        <v>206</v>
      </c>
    </row>
    <row r="583" ht="15.75" spans="1:7">
      <c r="A583" s="12">
        <v>582</v>
      </c>
      <c r="B583" s="1">
        <v>11</v>
      </c>
      <c r="C583" s="25">
        <v>1</v>
      </c>
      <c r="D583" s="14">
        <v>1345.61666666667</v>
      </c>
      <c r="E583" s="14">
        <v>979.574358974359</v>
      </c>
      <c r="F583" s="15" t="s">
        <v>206</v>
      </c>
      <c r="G583" s="1" t="s">
        <v>208</v>
      </c>
    </row>
    <row r="584" ht="15.75" spans="1:7">
      <c r="A584" s="12">
        <v>583</v>
      </c>
      <c r="B584" s="1">
        <v>11</v>
      </c>
      <c r="C584" s="25">
        <v>1</v>
      </c>
      <c r="D584" s="14">
        <v>1366.61068376068</v>
      </c>
      <c r="E584" s="14">
        <v>646.669230769231</v>
      </c>
      <c r="F584" s="15" t="s">
        <v>208</v>
      </c>
      <c r="G584" s="1" t="s">
        <v>209</v>
      </c>
    </row>
    <row r="585" ht="15.75" spans="1:7">
      <c r="A585" s="12">
        <v>584</v>
      </c>
      <c r="B585" s="1">
        <v>11</v>
      </c>
      <c r="C585" s="25">
        <v>1</v>
      </c>
      <c r="D585" s="14">
        <v>1348.61581196581</v>
      </c>
      <c r="E585" s="14">
        <v>559.694017094017</v>
      </c>
      <c r="F585" s="15" t="s">
        <v>209</v>
      </c>
      <c r="G585" s="1" t="s">
        <v>210</v>
      </c>
    </row>
    <row r="586" ht="15.75" spans="1:7">
      <c r="A586" s="12">
        <v>585</v>
      </c>
      <c r="B586" s="1">
        <v>11</v>
      </c>
      <c r="C586" s="25">
        <v>1</v>
      </c>
      <c r="D586" s="14">
        <v>1228.65</v>
      </c>
      <c r="E586" s="14">
        <v>373.747008547008</v>
      </c>
      <c r="F586" s="15" t="s">
        <v>210</v>
      </c>
      <c r="G586" s="1" t="s">
        <v>210</v>
      </c>
    </row>
    <row r="587" ht="15.75" spans="1:7">
      <c r="A587" s="12">
        <v>586</v>
      </c>
      <c r="B587" s="1">
        <v>11</v>
      </c>
      <c r="C587" s="25">
        <v>1</v>
      </c>
      <c r="D587" s="14">
        <v>1255.64230769231</v>
      </c>
      <c r="E587" s="14">
        <v>304.766666666666</v>
      </c>
      <c r="F587" s="15" t="s">
        <v>210</v>
      </c>
      <c r="G587" s="1" t="s">
        <v>213</v>
      </c>
    </row>
    <row r="588" ht="15.75" spans="1:7">
      <c r="A588" s="12">
        <v>587</v>
      </c>
      <c r="B588" s="1">
        <v>11</v>
      </c>
      <c r="C588" s="25">
        <v>4</v>
      </c>
      <c r="D588" s="14">
        <v>1771.4952991453</v>
      </c>
      <c r="E588" s="14">
        <v>337.757264957265</v>
      </c>
      <c r="F588" s="15" t="s">
        <v>213</v>
      </c>
      <c r="G588" s="1" t="s">
        <v>215</v>
      </c>
    </row>
    <row r="589" ht="15.75" spans="1:7">
      <c r="A589" s="12">
        <v>588</v>
      </c>
      <c r="B589" s="1">
        <v>11</v>
      </c>
      <c r="C589" s="25">
        <v>1</v>
      </c>
      <c r="D589" s="14">
        <v>2104.40042735043</v>
      </c>
      <c r="E589" s="14">
        <v>310.764957264957</v>
      </c>
      <c r="F589" s="15" t="s">
        <v>215</v>
      </c>
      <c r="G589" s="1" t="s">
        <v>137</v>
      </c>
    </row>
    <row r="590" ht="15.75" spans="1:7">
      <c r="A590" s="12">
        <v>589</v>
      </c>
      <c r="B590" s="1">
        <v>11</v>
      </c>
      <c r="C590" s="25">
        <v>1</v>
      </c>
      <c r="D590" s="14">
        <v>2287.34829059829</v>
      </c>
      <c r="E590" s="14">
        <v>556.694871794872</v>
      </c>
      <c r="F590" s="15" t="s">
        <v>137</v>
      </c>
      <c r="G590" s="1" t="s">
        <v>216</v>
      </c>
    </row>
    <row r="591" ht="15.75" spans="1:7">
      <c r="A591" s="12">
        <v>590</v>
      </c>
      <c r="B591" s="1">
        <v>11</v>
      </c>
      <c r="C591" s="25">
        <v>1</v>
      </c>
      <c r="D591" s="14">
        <v>2143.38931623932</v>
      </c>
      <c r="E591" s="14">
        <v>733.644444444444</v>
      </c>
      <c r="F591" s="15" t="s">
        <v>216</v>
      </c>
      <c r="G591" s="1" t="s">
        <v>217</v>
      </c>
    </row>
    <row r="592" ht="15.75" spans="1:7">
      <c r="A592" s="12">
        <v>591</v>
      </c>
      <c r="B592" s="1">
        <v>11</v>
      </c>
      <c r="C592" s="25">
        <v>1</v>
      </c>
      <c r="D592" s="14">
        <v>2119.39615384615</v>
      </c>
      <c r="E592" s="14">
        <v>943.584615384616</v>
      </c>
      <c r="F592" s="15" t="s">
        <v>217</v>
      </c>
      <c r="G592" s="15" t="s">
        <v>241</v>
      </c>
    </row>
    <row r="593" ht="15.75" spans="1:7">
      <c r="A593" s="12">
        <v>592</v>
      </c>
      <c r="B593" s="1">
        <v>11</v>
      </c>
      <c r="C593" s="26">
        <v>3</v>
      </c>
      <c r="D593" s="14">
        <v>1653</v>
      </c>
      <c r="E593" s="14">
        <v>1312</v>
      </c>
      <c r="F593" s="15" t="s">
        <v>241</v>
      </c>
      <c r="G593" s="15" t="s">
        <v>223</v>
      </c>
    </row>
    <row r="594" ht="15.75" spans="1:7">
      <c r="A594" s="12">
        <v>593</v>
      </c>
      <c r="B594" s="1">
        <v>12</v>
      </c>
      <c r="C594" s="25">
        <v>4</v>
      </c>
      <c r="D594" s="14">
        <v>2062.41239316239</v>
      </c>
      <c r="E594" s="14">
        <v>2332.18888888889</v>
      </c>
      <c r="F594" s="15" t="s">
        <v>146</v>
      </c>
      <c r="G594" s="1" t="s">
        <v>147</v>
      </c>
    </row>
    <row r="595" ht="15.75" spans="1:7">
      <c r="A595" s="12">
        <v>594</v>
      </c>
      <c r="B595" s="1">
        <v>12</v>
      </c>
      <c r="C595" s="25">
        <v>1</v>
      </c>
      <c r="D595" s="14">
        <v>1891.46111111111</v>
      </c>
      <c r="E595" s="14">
        <v>2050.26923076923</v>
      </c>
      <c r="F595" s="15" t="s">
        <v>147</v>
      </c>
      <c r="G595" s="1" t="s">
        <v>149</v>
      </c>
    </row>
    <row r="596" ht="15.75" spans="1:7">
      <c r="A596" s="12">
        <v>595</v>
      </c>
      <c r="B596" s="1">
        <v>12</v>
      </c>
      <c r="C596" s="25">
        <v>2</v>
      </c>
      <c r="D596" s="14">
        <v>1621.53803418803</v>
      </c>
      <c r="E596" s="14">
        <v>1309.48034188034</v>
      </c>
      <c r="F596" s="15" t="s">
        <v>149</v>
      </c>
      <c r="G596" s="1" t="s">
        <v>149</v>
      </c>
    </row>
    <row r="597" ht="15.75" spans="1:7">
      <c r="A597" s="12">
        <v>596</v>
      </c>
      <c r="B597" s="1">
        <v>12</v>
      </c>
      <c r="C597" s="25">
        <v>1</v>
      </c>
      <c r="D597" s="14">
        <v>1189.66111111111</v>
      </c>
      <c r="E597" s="14">
        <v>1207.5094017094</v>
      </c>
      <c r="F597" s="15" t="s">
        <v>149</v>
      </c>
      <c r="G597" s="1" t="s">
        <v>150</v>
      </c>
    </row>
    <row r="598" ht="15.75" spans="1:7">
      <c r="A598" s="12">
        <v>597</v>
      </c>
      <c r="B598" s="1">
        <v>12</v>
      </c>
      <c r="C598" s="25">
        <v>1</v>
      </c>
      <c r="D598" s="14">
        <v>1186.66196581197</v>
      </c>
      <c r="E598" s="14">
        <v>1270.49145299145</v>
      </c>
      <c r="F598" s="15" t="s">
        <v>150</v>
      </c>
      <c r="G598" s="1" t="s">
        <v>150</v>
      </c>
    </row>
    <row r="599" ht="15.75" spans="1:7">
      <c r="A599" s="12">
        <v>598</v>
      </c>
      <c r="B599" s="1">
        <v>12</v>
      </c>
      <c r="C599" s="25">
        <v>2</v>
      </c>
      <c r="D599" s="14">
        <v>1393.60299145299</v>
      </c>
      <c r="E599" s="14">
        <v>1108.53760683761</v>
      </c>
      <c r="F599" s="15" t="s">
        <v>150</v>
      </c>
      <c r="G599" s="1" t="s">
        <v>151</v>
      </c>
    </row>
    <row r="600" ht="15.75" spans="1:7">
      <c r="A600" s="12">
        <v>599</v>
      </c>
      <c r="B600" s="1">
        <v>12</v>
      </c>
      <c r="C600" s="25">
        <v>1</v>
      </c>
      <c r="D600" s="14">
        <v>1336.61923076923</v>
      </c>
      <c r="E600" s="14">
        <v>646.669230769231</v>
      </c>
      <c r="F600" s="15" t="s">
        <v>151</v>
      </c>
      <c r="G600" s="1" t="s">
        <v>157</v>
      </c>
    </row>
    <row r="601" ht="15.75" spans="1:7">
      <c r="A601" s="12">
        <v>600</v>
      </c>
      <c r="B601" s="1">
        <v>12</v>
      </c>
      <c r="C601" s="25">
        <v>1</v>
      </c>
      <c r="D601" s="14">
        <v>1303.62863247863</v>
      </c>
      <c r="E601" s="14">
        <v>628.674358974359</v>
      </c>
      <c r="F601" s="15" t="s">
        <v>157</v>
      </c>
      <c r="G601" s="1" t="s">
        <v>159</v>
      </c>
    </row>
    <row r="602" ht="15.75" spans="1:7">
      <c r="A602" s="12">
        <v>601</v>
      </c>
      <c r="B602" s="1">
        <v>12</v>
      </c>
      <c r="C602" s="25">
        <v>2</v>
      </c>
      <c r="D602" s="14">
        <v>1180.66367521368</v>
      </c>
      <c r="E602" s="14">
        <v>517.705982905983</v>
      </c>
      <c r="F602" s="15" t="s">
        <v>159</v>
      </c>
      <c r="G602" s="1" t="s">
        <v>161</v>
      </c>
    </row>
    <row r="603" ht="15.75" spans="1:7">
      <c r="A603" s="12">
        <v>602</v>
      </c>
      <c r="B603" s="1">
        <v>12</v>
      </c>
      <c r="C603" s="25">
        <v>1</v>
      </c>
      <c r="D603" s="14">
        <v>1219.65256410256</v>
      </c>
      <c r="E603" s="14">
        <v>298.768376068376</v>
      </c>
      <c r="F603" s="15" t="s">
        <v>161</v>
      </c>
      <c r="G603" s="1" t="s">
        <v>163</v>
      </c>
    </row>
    <row r="604" ht="15.75" spans="1:7">
      <c r="A604" s="12">
        <v>603</v>
      </c>
      <c r="B604" s="1">
        <v>12</v>
      </c>
      <c r="C604" s="25">
        <v>1</v>
      </c>
      <c r="D604" s="14">
        <v>1261.6405982906</v>
      </c>
      <c r="E604" s="14">
        <v>301.767521367521</v>
      </c>
      <c r="F604" s="15" t="s">
        <v>163</v>
      </c>
      <c r="G604" s="1" t="s">
        <v>163</v>
      </c>
    </row>
    <row r="605" ht="15.75" spans="1:7">
      <c r="A605" s="12">
        <v>604</v>
      </c>
      <c r="B605" s="1">
        <v>12</v>
      </c>
      <c r="C605" s="25">
        <v>1</v>
      </c>
      <c r="D605" s="14">
        <v>1549.55854700855</v>
      </c>
      <c r="E605" s="14">
        <v>337.757264957265</v>
      </c>
      <c r="F605" s="15" t="s">
        <v>163</v>
      </c>
      <c r="G605" s="1" t="s">
        <v>242</v>
      </c>
    </row>
    <row r="606" ht="15.75" spans="1:7">
      <c r="A606" s="12">
        <v>605</v>
      </c>
      <c r="B606" s="1">
        <v>12</v>
      </c>
      <c r="C606" s="25">
        <v>2</v>
      </c>
      <c r="D606" s="14">
        <v>2170.38162393162</v>
      </c>
      <c r="E606" s="14">
        <v>388.742735042735</v>
      </c>
      <c r="F606" s="15" t="s">
        <v>242</v>
      </c>
      <c r="G606" s="1" t="s">
        <v>167</v>
      </c>
    </row>
    <row r="607" ht="15.75" spans="1:7">
      <c r="A607" s="12">
        <v>606</v>
      </c>
      <c r="B607" s="1">
        <v>12</v>
      </c>
      <c r="C607" s="25">
        <v>1</v>
      </c>
      <c r="D607" s="14">
        <v>2305.34316239316</v>
      </c>
      <c r="E607" s="14">
        <v>334.75811965812</v>
      </c>
      <c r="F607" s="15" t="s">
        <v>167</v>
      </c>
      <c r="G607" s="1" t="s">
        <v>170</v>
      </c>
    </row>
    <row r="608" ht="15.75" spans="1:7">
      <c r="A608" s="12">
        <v>607</v>
      </c>
      <c r="B608" s="1">
        <v>12</v>
      </c>
      <c r="C608" s="25">
        <v>1</v>
      </c>
      <c r="D608" s="14">
        <v>2143.38931623932</v>
      </c>
      <c r="E608" s="14">
        <v>508.708547008547</v>
      </c>
      <c r="F608" s="15" t="s">
        <v>170</v>
      </c>
      <c r="G608" s="1" t="s">
        <v>172</v>
      </c>
    </row>
    <row r="609" ht="15.75" spans="1:7">
      <c r="A609" s="12">
        <v>608</v>
      </c>
      <c r="B609" s="1">
        <v>12</v>
      </c>
      <c r="C609" s="25">
        <v>1</v>
      </c>
      <c r="D609" s="14">
        <v>2152.38675213675</v>
      </c>
      <c r="E609" s="14">
        <v>553.695726495726</v>
      </c>
      <c r="F609" s="15" t="s">
        <v>172</v>
      </c>
      <c r="G609" s="1" t="s">
        <v>172</v>
      </c>
    </row>
    <row r="610" ht="15.75" spans="1:7">
      <c r="A610" s="12">
        <v>609</v>
      </c>
      <c r="B610" s="1">
        <v>12</v>
      </c>
      <c r="C610" s="25">
        <v>1</v>
      </c>
      <c r="D610" s="14">
        <v>2185.37735042735</v>
      </c>
      <c r="E610" s="14">
        <v>769.634188034188</v>
      </c>
      <c r="F610" s="15" t="s">
        <v>172</v>
      </c>
      <c r="G610" s="1" t="s">
        <v>175</v>
      </c>
    </row>
    <row r="611" ht="15.75" spans="1:7">
      <c r="A611" s="12">
        <v>610</v>
      </c>
      <c r="B611" s="1">
        <v>12</v>
      </c>
      <c r="C611" s="25">
        <v>1</v>
      </c>
      <c r="D611" s="14">
        <v>2173.38076923077</v>
      </c>
      <c r="E611" s="14">
        <v>811.622222222222</v>
      </c>
      <c r="F611" s="15" t="s">
        <v>175</v>
      </c>
      <c r="G611" s="1" t="s">
        <v>175</v>
      </c>
    </row>
    <row r="612" ht="15.75" spans="1:7">
      <c r="A612" s="12">
        <v>611</v>
      </c>
      <c r="B612" s="1">
        <v>12</v>
      </c>
      <c r="C612" s="25">
        <v>1</v>
      </c>
      <c r="D612" s="14">
        <v>2185.37735042735</v>
      </c>
      <c r="E612" s="14">
        <v>958.580341880342</v>
      </c>
      <c r="F612" s="15" t="s">
        <v>175</v>
      </c>
      <c r="G612" s="1" t="s">
        <v>176</v>
      </c>
    </row>
    <row r="613" ht="15.75" spans="1:7">
      <c r="A613" s="12">
        <v>612</v>
      </c>
      <c r="B613" s="1">
        <v>12</v>
      </c>
      <c r="C613" s="25">
        <v>2</v>
      </c>
      <c r="D613" s="14">
        <v>2326.33717948718</v>
      </c>
      <c r="E613" s="14">
        <v>1048.5547008547</v>
      </c>
      <c r="F613" s="15" t="s">
        <v>176</v>
      </c>
      <c r="G613" s="1" t="s">
        <v>178</v>
      </c>
    </row>
    <row r="614" ht="15.75" spans="1:7">
      <c r="A614" s="12">
        <v>613</v>
      </c>
      <c r="B614" s="1">
        <v>12</v>
      </c>
      <c r="C614" s="25">
        <v>1</v>
      </c>
      <c r="D614" s="14">
        <v>2299.34487179487</v>
      </c>
      <c r="E614" s="14">
        <v>1192.51367521368</v>
      </c>
      <c r="F614" s="15" t="s">
        <v>178</v>
      </c>
      <c r="G614" s="1" t="s">
        <v>182</v>
      </c>
    </row>
    <row r="615" ht="15.75" spans="1:7">
      <c r="A615" s="12">
        <v>614</v>
      </c>
      <c r="B615" s="1">
        <v>12</v>
      </c>
      <c r="C615" s="25">
        <v>1</v>
      </c>
      <c r="D615" s="14">
        <v>2026.42264957265</v>
      </c>
      <c r="E615" s="14">
        <v>1288.48632478632</v>
      </c>
      <c r="F615" s="15" t="s">
        <v>182</v>
      </c>
      <c r="G615" s="1" t="s">
        <v>182</v>
      </c>
    </row>
    <row r="616" ht="15.75" spans="1:7">
      <c r="A616" s="12">
        <v>615</v>
      </c>
      <c r="B616" s="1">
        <v>12</v>
      </c>
      <c r="C616" s="25">
        <v>1</v>
      </c>
      <c r="D616" s="14">
        <v>2185.37735042735</v>
      </c>
      <c r="E616" s="14">
        <v>1168.52051282051</v>
      </c>
      <c r="F616" s="15" t="s">
        <v>182</v>
      </c>
      <c r="G616" s="1" t="s">
        <v>243</v>
      </c>
    </row>
    <row r="617" ht="15.75" spans="1:7">
      <c r="A617" s="12">
        <v>616</v>
      </c>
      <c r="B617" s="1">
        <v>12</v>
      </c>
      <c r="C617" s="25">
        <v>1</v>
      </c>
      <c r="D617" s="14">
        <v>2281.35</v>
      </c>
      <c r="E617" s="14">
        <v>1018.56324786325</v>
      </c>
      <c r="F617" s="15" t="s">
        <v>243</v>
      </c>
      <c r="G617" s="15" t="s">
        <v>244</v>
      </c>
    </row>
    <row r="618" ht="15.75" spans="1:7">
      <c r="A618" s="12">
        <v>617</v>
      </c>
      <c r="B618" s="1">
        <v>12</v>
      </c>
      <c r="C618" s="25">
        <v>2</v>
      </c>
      <c r="D618" s="14">
        <v>2284.34914529915</v>
      </c>
      <c r="E618" s="14">
        <v>1063.55042735043</v>
      </c>
      <c r="F618" s="15" t="s">
        <v>245</v>
      </c>
      <c r="G618" s="1" t="s">
        <v>246</v>
      </c>
    </row>
    <row r="619" ht="15.75" spans="1:7">
      <c r="A619" s="12">
        <v>618</v>
      </c>
      <c r="B619" s="1">
        <v>12</v>
      </c>
      <c r="C619" s="25">
        <v>1</v>
      </c>
      <c r="D619" s="14">
        <v>2287.34829059829</v>
      </c>
      <c r="E619" s="14">
        <v>1315.47863247863</v>
      </c>
      <c r="F619" s="15" t="s">
        <v>246</v>
      </c>
      <c r="G619" s="1" t="s">
        <v>247</v>
      </c>
    </row>
    <row r="620" ht="15.75" spans="1:7">
      <c r="A620" s="12">
        <v>619</v>
      </c>
      <c r="B620" s="1">
        <v>12</v>
      </c>
      <c r="C620" s="25">
        <v>2</v>
      </c>
      <c r="D620" s="14">
        <v>1249.64401709402</v>
      </c>
      <c r="E620" s="14">
        <v>1279.48888888889</v>
      </c>
      <c r="F620" s="15" t="s">
        <v>247</v>
      </c>
      <c r="G620" s="1" t="s">
        <v>247</v>
      </c>
    </row>
    <row r="621" ht="15.75" spans="1:7">
      <c r="A621" s="12">
        <v>620</v>
      </c>
      <c r="B621" s="1">
        <v>12</v>
      </c>
      <c r="C621" s="25">
        <v>1</v>
      </c>
      <c r="D621" s="14">
        <v>1276.63632478633</v>
      </c>
      <c r="E621" s="14">
        <v>1030.55982905983</v>
      </c>
      <c r="F621" s="15" t="s">
        <v>247</v>
      </c>
      <c r="G621" s="1" t="s">
        <v>248</v>
      </c>
    </row>
    <row r="622" ht="15.75" spans="1:7">
      <c r="A622" s="12">
        <v>621</v>
      </c>
      <c r="B622" s="1">
        <v>12</v>
      </c>
      <c r="C622" s="25">
        <v>2</v>
      </c>
      <c r="D622" s="14">
        <v>1339.61837606838</v>
      </c>
      <c r="E622" s="14">
        <v>313.764102564102</v>
      </c>
      <c r="F622" s="15" t="s">
        <v>248</v>
      </c>
      <c r="G622" s="1" t="s">
        <v>249</v>
      </c>
    </row>
    <row r="623" ht="15.75" spans="1:7">
      <c r="A623" s="12">
        <v>622</v>
      </c>
      <c r="B623" s="1">
        <v>12</v>
      </c>
      <c r="C623" s="25">
        <v>1</v>
      </c>
      <c r="D623" s="14">
        <v>2164.38333333333</v>
      </c>
      <c r="E623" s="14">
        <v>502.710256410256</v>
      </c>
      <c r="F623" s="15" t="s">
        <v>249</v>
      </c>
      <c r="G623" s="1" t="s">
        <v>250</v>
      </c>
    </row>
    <row r="624" ht="15.75" spans="1:7">
      <c r="A624" s="12">
        <v>623</v>
      </c>
      <c r="B624" s="1">
        <v>12</v>
      </c>
      <c r="C624" s="25">
        <v>1</v>
      </c>
      <c r="D624" s="14">
        <v>2296.34572649573</v>
      </c>
      <c r="E624" s="14">
        <v>634.672649572649</v>
      </c>
      <c r="F624" s="15" t="s">
        <v>250</v>
      </c>
      <c r="G624" s="1" t="s">
        <v>251</v>
      </c>
    </row>
    <row r="625" ht="15.75" spans="1:7">
      <c r="A625" s="12">
        <v>624</v>
      </c>
      <c r="B625" s="1">
        <v>12</v>
      </c>
      <c r="C625" s="25">
        <v>2</v>
      </c>
      <c r="D625" s="14">
        <v>2161.38418803419</v>
      </c>
      <c r="E625" s="14">
        <v>748.640170940171</v>
      </c>
      <c r="F625" s="15" t="s">
        <v>251</v>
      </c>
      <c r="G625" s="1" t="s">
        <v>252</v>
      </c>
    </row>
    <row r="626" ht="15.75" spans="1:7">
      <c r="A626" s="12">
        <v>625</v>
      </c>
      <c r="B626" s="1">
        <v>12</v>
      </c>
      <c r="C626" s="25">
        <v>1</v>
      </c>
      <c r="D626" s="14">
        <v>2287.34829059829</v>
      </c>
      <c r="E626" s="14">
        <v>556.694871794872</v>
      </c>
      <c r="F626" s="15" t="s">
        <v>252</v>
      </c>
      <c r="G626" s="1" t="s">
        <v>253</v>
      </c>
    </row>
    <row r="627" ht="15.75" spans="1:7">
      <c r="A627" s="12">
        <v>626</v>
      </c>
      <c r="B627" s="1">
        <v>12</v>
      </c>
      <c r="C627" s="25">
        <v>1</v>
      </c>
      <c r="D627" s="14">
        <v>2143.38931623932</v>
      </c>
      <c r="E627" s="14">
        <v>733.644444444444</v>
      </c>
      <c r="F627" s="15" t="s">
        <v>253</v>
      </c>
      <c r="G627" s="1" t="s">
        <v>254</v>
      </c>
    </row>
    <row r="628" ht="15.75" spans="1:7">
      <c r="A628" s="12">
        <v>627</v>
      </c>
      <c r="B628" s="1">
        <v>12</v>
      </c>
      <c r="C628" s="25">
        <v>1</v>
      </c>
      <c r="D628" s="14">
        <v>2119.39615384615</v>
      </c>
      <c r="E628" s="14">
        <v>943.584615384616</v>
      </c>
      <c r="F628" s="15" t="s">
        <v>254</v>
      </c>
      <c r="G628" s="15" t="s">
        <v>255</v>
      </c>
    </row>
    <row r="629" ht="15.75" spans="1:7">
      <c r="A629" s="12">
        <v>628</v>
      </c>
      <c r="B629" s="16">
        <v>13</v>
      </c>
      <c r="C629" s="25">
        <v>1</v>
      </c>
      <c r="D629" s="14">
        <v>1873.46623931624</v>
      </c>
      <c r="E629" s="14">
        <v>2212.22307692308</v>
      </c>
      <c r="F629" s="15" t="s">
        <v>69</v>
      </c>
      <c r="G629" s="1" t="s">
        <v>186</v>
      </c>
    </row>
    <row r="630" ht="15.75" spans="1:7">
      <c r="A630" s="12">
        <v>629</v>
      </c>
      <c r="B630" s="16">
        <v>13</v>
      </c>
      <c r="C630" s="25">
        <v>1</v>
      </c>
      <c r="D630" s="14">
        <v>1867.46794871795</v>
      </c>
      <c r="E630" s="14">
        <v>1840.32905982906</v>
      </c>
      <c r="F630" s="15" t="s">
        <v>186</v>
      </c>
      <c r="G630" s="1" t="s">
        <v>71</v>
      </c>
    </row>
    <row r="631" ht="15.75" spans="1:7">
      <c r="A631" s="12">
        <v>630</v>
      </c>
      <c r="B631" s="16">
        <v>13</v>
      </c>
      <c r="C631" s="26">
        <v>3</v>
      </c>
      <c r="D631" s="14">
        <v>1651.52948717949</v>
      </c>
      <c r="E631" s="14">
        <v>1384.45897435897</v>
      </c>
      <c r="F631" s="15" t="s">
        <v>71</v>
      </c>
      <c r="G631" s="1" t="s">
        <v>141</v>
      </c>
    </row>
    <row r="632" ht="15.75" spans="1:7">
      <c r="A632" s="12">
        <v>631</v>
      </c>
      <c r="B632" s="16">
        <v>13</v>
      </c>
      <c r="C632" s="25">
        <v>1</v>
      </c>
      <c r="D632" s="14">
        <v>1648.53034188034</v>
      </c>
      <c r="E632" s="14">
        <v>1174.5188034188</v>
      </c>
      <c r="F632" s="15" t="s">
        <v>141</v>
      </c>
      <c r="G632" s="1" t="s">
        <v>73</v>
      </c>
    </row>
    <row r="633" ht="15.75" spans="1:7">
      <c r="A633" s="12">
        <v>632</v>
      </c>
      <c r="B633" s="16">
        <v>13</v>
      </c>
      <c r="C633" s="25">
        <v>1</v>
      </c>
      <c r="D633" s="14">
        <v>1309.62692307692</v>
      </c>
      <c r="E633" s="14">
        <v>1240.5</v>
      </c>
      <c r="F633" s="15" t="s">
        <v>73</v>
      </c>
      <c r="G633" s="1" t="s">
        <v>74</v>
      </c>
    </row>
    <row r="634" ht="15.75" spans="1:7">
      <c r="A634" s="12">
        <v>633</v>
      </c>
      <c r="B634" s="16">
        <v>13</v>
      </c>
      <c r="C634" s="25">
        <v>1</v>
      </c>
      <c r="D634" s="14">
        <v>1198.65854700855</v>
      </c>
      <c r="E634" s="14">
        <v>1291.48547008547</v>
      </c>
      <c r="F634" s="15" t="s">
        <v>74</v>
      </c>
      <c r="G634" s="1" t="s">
        <v>75</v>
      </c>
    </row>
    <row r="635" ht="15.75" spans="1:7">
      <c r="A635" s="12">
        <v>634</v>
      </c>
      <c r="B635" s="16">
        <v>13</v>
      </c>
      <c r="C635" s="25">
        <v>1</v>
      </c>
      <c r="D635" s="14">
        <v>1384.60555555556</v>
      </c>
      <c r="E635" s="14">
        <v>1033.55897435897</v>
      </c>
      <c r="F635" s="15" t="s">
        <v>75</v>
      </c>
      <c r="G635" s="1" t="s">
        <v>76</v>
      </c>
    </row>
    <row r="636" ht="15.75" spans="1:7">
      <c r="A636" s="12">
        <v>635</v>
      </c>
      <c r="B636" s="16">
        <v>13</v>
      </c>
      <c r="C636" s="25">
        <v>1</v>
      </c>
      <c r="D636" s="14">
        <v>1249.64401709402</v>
      </c>
      <c r="E636" s="14">
        <v>970.576923076923</v>
      </c>
      <c r="F636" s="15" t="s">
        <v>76</v>
      </c>
      <c r="G636" s="1" t="s">
        <v>78</v>
      </c>
    </row>
    <row r="637" ht="15.75" spans="1:7">
      <c r="A637" s="12">
        <v>636</v>
      </c>
      <c r="B637" s="16">
        <v>13</v>
      </c>
      <c r="C637" s="25">
        <v>1</v>
      </c>
      <c r="D637" s="14">
        <v>1354.6141025641</v>
      </c>
      <c r="E637" s="14">
        <v>946.583760683761</v>
      </c>
      <c r="F637" s="15" t="s">
        <v>78</v>
      </c>
      <c r="G637" s="1" t="s">
        <v>78</v>
      </c>
    </row>
    <row r="638" ht="15.75" spans="1:7">
      <c r="A638" s="12">
        <v>637</v>
      </c>
      <c r="B638" s="16">
        <v>13</v>
      </c>
      <c r="C638" s="25">
        <v>2</v>
      </c>
      <c r="D638" s="14">
        <v>1345.61666666667</v>
      </c>
      <c r="E638" s="14">
        <v>763.635897435897</v>
      </c>
      <c r="F638" s="15" t="s">
        <v>78</v>
      </c>
      <c r="G638" s="1" t="s">
        <v>79</v>
      </c>
    </row>
    <row r="639" ht="15.75" spans="1:7">
      <c r="A639" s="12">
        <v>638</v>
      </c>
      <c r="B639" s="16">
        <v>13</v>
      </c>
      <c r="C639" s="25">
        <v>2</v>
      </c>
      <c r="D639" s="14">
        <v>1240.64658119658</v>
      </c>
      <c r="E639" s="14">
        <v>637.671794871795</v>
      </c>
      <c r="F639" s="15" t="s">
        <v>79</v>
      </c>
      <c r="G639" s="1" t="s">
        <v>80</v>
      </c>
    </row>
    <row r="640" ht="15.75" spans="1:7">
      <c r="A640" s="12">
        <v>639</v>
      </c>
      <c r="B640" s="16">
        <v>13</v>
      </c>
      <c r="C640" s="26">
        <v>3</v>
      </c>
      <c r="D640" s="14">
        <v>1189.66111111111</v>
      </c>
      <c r="E640" s="14">
        <v>424.732478632478</v>
      </c>
      <c r="F640" s="15" t="s">
        <v>80</v>
      </c>
      <c r="G640" s="1" t="s">
        <v>81</v>
      </c>
    </row>
    <row r="641" ht="15.75" spans="1:7">
      <c r="A641" s="12">
        <v>640</v>
      </c>
      <c r="B641" s="16">
        <v>13</v>
      </c>
      <c r="C641" s="25">
        <v>1</v>
      </c>
      <c r="D641" s="14">
        <v>1297.63034188034</v>
      </c>
      <c r="E641" s="14">
        <v>346.754700854701</v>
      </c>
      <c r="F641" s="15" t="s">
        <v>81</v>
      </c>
      <c r="G641" s="1" t="s">
        <v>82</v>
      </c>
    </row>
    <row r="642" ht="15.75" spans="1:7">
      <c r="A642" s="12">
        <v>641</v>
      </c>
      <c r="B642" s="16">
        <v>13</v>
      </c>
      <c r="C642" s="25">
        <v>1</v>
      </c>
      <c r="D642" s="14">
        <v>2332.33547008547</v>
      </c>
      <c r="E642" s="14">
        <v>427.731623931624</v>
      </c>
      <c r="F642" s="15" t="s">
        <v>82</v>
      </c>
      <c r="G642" s="1" t="s">
        <v>83</v>
      </c>
    </row>
    <row r="643" ht="15.75" spans="1:7">
      <c r="A643" s="12">
        <v>642</v>
      </c>
      <c r="B643" s="16">
        <v>13</v>
      </c>
      <c r="C643" s="25">
        <v>1</v>
      </c>
      <c r="D643" s="14">
        <v>2239.36196581197</v>
      </c>
      <c r="E643" s="14">
        <v>517.705982905983</v>
      </c>
      <c r="F643" s="15" t="s">
        <v>83</v>
      </c>
      <c r="G643" s="1" t="s">
        <v>83</v>
      </c>
    </row>
    <row r="644" ht="15.75" spans="1:7">
      <c r="A644" s="12">
        <v>643</v>
      </c>
      <c r="B644" s="16">
        <v>13</v>
      </c>
      <c r="C644" s="25">
        <v>1</v>
      </c>
      <c r="D644" s="14">
        <v>2341.33290598291</v>
      </c>
      <c r="E644" s="14">
        <v>514.706837606837</v>
      </c>
      <c r="F644" s="15" t="s">
        <v>83</v>
      </c>
      <c r="G644" s="1" t="s">
        <v>85</v>
      </c>
    </row>
    <row r="645" ht="15.75" spans="1:7">
      <c r="A645" s="12">
        <v>644</v>
      </c>
      <c r="B645" s="16">
        <v>13</v>
      </c>
      <c r="C645" s="25">
        <v>1</v>
      </c>
      <c r="D645" s="14">
        <v>2191.37564102564</v>
      </c>
      <c r="E645" s="14">
        <v>964.578632478633</v>
      </c>
      <c r="F645" s="15" t="s">
        <v>85</v>
      </c>
      <c r="G645" s="1" t="s">
        <v>85</v>
      </c>
    </row>
    <row r="646" ht="15.75" spans="1:7">
      <c r="A646" s="12">
        <v>645</v>
      </c>
      <c r="B646" s="16">
        <v>13</v>
      </c>
      <c r="C646" s="25">
        <v>2</v>
      </c>
      <c r="D646" s="14">
        <v>2266.35427350427</v>
      </c>
      <c r="E646" s="14">
        <v>1033.55897435897</v>
      </c>
      <c r="F646" s="15" t="s">
        <v>85</v>
      </c>
      <c r="G646" s="1" t="s">
        <v>86</v>
      </c>
    </row>
    <row r="647" ht="15.75" spans="1:7">
      <c r="A647" s="12">
        <v>646</v>
      </c>
      <c r="B647" s="16">
        <v>13</v>
      </c>
      <c r="C647" s="25">
        <v>1</v>
      </c>
      <c r="D647" s="14">
        <v>2119.39615384615</v>
      </c>
      <c r="E647" s="14">
        <v>1171.51965811966</v>
      </c>
      <c r="F647" s="15" t="s">
        <v>86</v>
      </c>
      <c r="G647" s="1" t="s">
        <v>142</v>
      </c>
    </row>
    <row r="648" ht="15.75" spans="1:7">
      <c r="A648" s="12">
        <v>647</v>
      </c>
      <c r="B648" s="16">
        <v>13</v>
      </c>
      <c r="C648" s="25">
        <v>1</v>
      </c>
      <c r="D648" s="14">
        <v>2287.34829059829</v>
      </c>
      <c r="E648" s="14">
        <v>1171.51965811966</v>
      </c>
      <c r="F648" s="15" t="s">
        <v>142</v>
      </c>
      <c r="G648" s="1" t="s">
        <v>87</v>
      </c>
    </row>
    <row r="649" ht="15.75" spans="1:7">
      <c r="A649" s="12">
        <v>648</v>
      </c>
      <c r="B649" s="16">
        <v>13</v>
      </c>
      <c r="C649" s="25">
        <v>1</v>
      </c>
      <c r="D649" s="14">
        <v>2353.32948717949</v>
      </c>
      <c r="E649" s="14">
        <v>1177.51794871795</v>
      </c>
      <c r="F649" s="15" t="s">
        <v>87</v>
      </c>
      <c r="G649" s="1" t="s">
        <v>87</v>
      </c>
    </row>
    <row r="650" ht="15.75" spans="1:7">
      <c r="A650" s="12">
        <v>649</v>
      </c>
      <c r="B650" s="16">
        <v>13</v>
      </c>
      <c r="C650" s="25">
        <v>1</v>
      </c>
      <c r="D650" s="14">
        <v>2344.33205128205</v>
      </c>
      <c r="E650" s="14">
        <v>1312.47948717949</v>
      </c>
      <c r="F650" s="15" t="s">
        <v>87</v>
      </c>
      <c r="G650" s="1" t="s">
        <v>88</v>
      </c>
    </row>
    <row r="651" ht="15.75" spans="1:7">
      <c r="A651" s="12">
        <v>650</v>
      </c>
      <c r="B651" s="16">
        <v>13</v>
      </c>
      <c r="C651" s="25">
        <v>2</v>
      </c>
      <c r="D651" s="14">
        <v>2209.37051282051</v>
      </c>
      <c r="E651" s="14">
        <v>1243.49914529915</v>
      </c>
      <c r="F651" s="15" t="s">
        <v>88</v>
      </c>
      <c r="G651" s="1" t="s">
        <v>88</v>
      </c>
    </row>
    <row r="652" ht="15.75" spans="1:7">
      <c r="A652" s="12">
        <v>651</v>
      </c>
      <c r="B652" s="16">
        <v>13</v>
      </c>
      <c r="C652" s="26">
        <v>3</v>
      </c>
      <c r="D652" s="14">
        <v>2170.38162393162</v>
      </c>
      <c r="E652" s="14">
        <v>1261.49401709402</v>
      </c>
      <c r="F652" s="15" t="s">
        <v>88</v>
      </c>
      <c r="G652" s="1" t="s">
        <v>91</v>
      </c>
    </row>
    <row r="653" ht="15.75" spans="1:7">
      <c r="A653" s="12">
        <v>652</v>
      </c>
      <c r="B653" s="16">
        <v>13</v>
      </c>
      <c r="C653" s="26">
        <v>3</v>
      </c>
      <c r="D653" s="14">
        <v>1786.49102564103</v>
      </c>
      <c r="E653" s="14">
        <v>373.747008547008</v>
      </c>
      <c r="F653" s="15" t="s">
        <v>93</v>
      </c>
      <c r="G653" s="1" t="s">
        <v>101</v>
      </c>
    </row>
    <row r="654" ht="15.75" spans="1:7">
      <c r="A654" s="12">
        <v>653</v>
      </c>
      <c r="B654" s="16">
        <v>13</v>
      </c>
      <c r="C654" s="25">
        <v>1</v>
      </c>
      <c r="D654" s="14">
        <v>1423.59444444444</v>
      </c>
      <c r="E654" s="14">
        <v>292.770085470085</v>
      </c>
      <c r="F654" s="15" t="s">
        <v>101</v>
      </c>
      <c r="G654" s="1" t="s">
        <v>101</v>
      </c>
    </row>
    <row r="655" ht="15.75" spans="1:7">
      <c r="A655" s="12">
        <v>654</v>
      </c>
      <c r="B655" s="16">
        <v>13</v>
      </c>
      <c r="C655" s="25">
        <v>1</v>
      </c>
      <c r="D655" s="14">
        <v>1252.64316239316</v>
      </c>
      <c r="E655" s="14">
        <v>325.760683760684</v>
      </c>
      <c r="F655" s="15" t="s">
        <v>101</v>
      </c>
      <c r="G655" s="1" t="s">
        <v>102</v>
      </c>
    </row>
    <row r="656" ht="15.75" spans="1:7">
      <c r="A656" s="12">
        <v>655</v>
      </c>
      <c r="B656" s="16">
        <v>13</v>
      </c>
      <c r="C656" s="25">
        <v>1</v>
      </c>
      <c r="D656" s="14">
        <v>1336.61923076923</v>
      </c>
      <c r="E656" s="14">
        <v>559.694017094017</v>
      </c>
      <c r="F656" s="15" t="s">
        <v>102</v>
      </c>
      <c r="G656" s="1" t="s">
        <v>102</v>
      </c>
    </row>
    <row r="657" ht="15.75" spans="1:7">
      <c r="A657" s="12">
        <v>656</v>
      </c>
      <c r="B657" s="16">
        <v>13</v>
      </c>
      <c r="C657" s="25">
        <v>1</v>
      </c>
      <c r="D657" s="14">
        <v>1261.6405982906</v>
      </c>
      <c r="E657" s="14">
        <v>493.71282051282</v>
      </c>
      <c r="F657" s="15" t="s">
        <v>102</v>
      </c>
      <c r="G657" s="1" t="s">
        <v>103</v>
      </c>
    </row>
    <row r="658" ht="15.75" spans="1:7">
      <c r="A658" s="12">
        <v>657</v>
      </c>
      <c r="B658" s="16">
        <v>13</v>
      </c>
      <c r="C658" s="25">
        <v>2</v>
      </c>
      <c r="D658" s="14">
        <v>1357.61324786325</v>
      </c>
      <c r="E658" s="14">
        <v>700.653846153846</v>
      </c>
      <c r="F658" s="15" t="s">
        <v>103</v>
      </c>
      <c r="G658" s="1" t="s">
        <v>103</v>
      </c>
    </row>
    <row r="659" ht="15.75" spans="1:7">
      <c r="A659" s="12">
        <v>658</v>
      </c>
      <c r="B659" s="16">
        <v>13</v>
      </c>
      <c r="C659" s="25">
        <v>1</v>
      </c>
      <c r="D659" s="14">
        <v>1357.61324786325</v>
      </c>
      <c r="E659" s="14">
        <v>976.575213675214</v>
      </c>
      <c r="F659" s="15" t="s">
        <v>103</v>
      </c>
      <c r="G659" s="1" t="s">
        <v>103</v>
      </c>
    </row>
    <row r="660" ht="15.75" spans="1:7">
      <c r="A660" s="12">
        <v>659</v>
      </c>
      <c r="B660" s="16">
        <v>13</v>
      </c>
      <c r="C660" s="25">
        <v>1</v>
      </c>
      <c r="D660" s="14">
        <v>1372.60897435897</v>
      </c>
      <c r="E660" s="14">
        <v>1066.54957264957</v>
      </c>
      <c r="F660" s="15" t="s">
        <v>103</v>
      </c>
      <c r="G660" s="1" t="s">
        <v>104</v>
      </c>
    </row>
    <row r="661" ht="15.75" spans="1:7">
      <c r="A661" s="12">
        <v>660</v>
      </c>
      <c r="B661" s="16">
        <v>13</v>
      </c>
      <c r="C661" s="25">
        <v>1</v>
      </c>
      <c r="D661" s="14">
        <v>1249.64401709402</v>
      </c>
      <c r="E661" s="14">
        <v>1258.49487179487</v>
      </c>
      <c r="F661" s="15" t="s">
        <v>104</v>
      </c>
      <c r="G661" s="1" t="s">
        <v>106</v>
      </c>
    </row>
    <row r="662" ht="15.75" spans="1:7">
      <c r="A662" s="12">
        <v>661</v>
      </c>
      <c r="B662" s="16">
        <v>13</v>
      </c>
      <c r="C662" s="25">
        <v>1</v>
      </c>
      <c r="D662" s="14">
        <v>2290.34743589744</v>
      </c>
      <c r="E662" s="14">
        <v>643.670085470085</v>
      </c>
      <c r="F662" s="15" t="s">
        <v>106</v>
      </c>
      <c r="G662" s="1" t="s">
        <v>106</v>
      </c>
    </row>
    <row r="663" ht="15.75" spans="1:7">
      <c r="A663" s="12">
        <v>662</v>
      </c>
      <c r="B663" s="16">
        <v>13</v>
      </c>
      <c r="C663" s="25">
        <v>1</v>
      </c>
      <c r="D663" s="14">
        <v>2137.39102564103</v>
      </c>
      <c r="E663" s="14">
        <v>634.672649572649</v>
      </c>
      <c r="F663" s="15" t="s">
        <v>106</v>
      </c>
      <c r="G663" s="1" t="s">
        <v>108</v>
      </c>
    </row>
    <row r="664" ht="15.75" spans="1:7">
      <c r="A664" s="12">
        <v>663</v>
      </c>
      <c r="B664" s="16">
        <v>13</v>
      </c>
      <c r="C664" s="25">
        <v>1</v>
      </c>
      <c r="D664" s="14">
        <v>2143.38931623932</v>
      </c>
      <c r="E664" s="14">
        <v>751.639316239316</v>
      </c>
      <c r="F664" s="15" t="s">
        <v>108</v>
      </c>
      <c r="G664" s="1" t="s">
        <v>109</v>
      </c>
    </row>
    <row r="665" ht="15.75" spans="1:7">
      <c r="A665" s="12">
        <v>664</v>
      </c>
      <c r="B665" s="16">
        <v>13</v>
      </c>
      <c r="C665" s="25">
        <v>2</v>
      </c>
      <c r="D665" s="14">
        <v>2131.39273504274</v>
      </c>
      <c r="E665" s="14">
        <v>1042.55641025641</v>
      </c>
      <c r="F665" s="15" t="s">
        <v>109</v>
      </c>
      <c r="G665" s="1" t="s">
        <v>187</v>
      </c>
    </row>
    <row r="666" ht="15.75" spans="1:7">
      <c r="A666" s="12">
        <v>665</v>
      </c>
      <c r="B666" s="16">
        <v>13</v>
      </c>
      <c r="C666" s="25">
        <v>1</v>
      </c>
      <c r="D666" s="14">
        <v>2281.35</v>
      </c>
      <c r="E666" s="14">
        <v>1306.4811965812</v>
      </c>
      <c r="F666" s="15" t="s">
        <v>187</v>
      </c>
      <c r="G666" s="1" t="s">
        <v>188</v>
      </c>
    </row>
    <row r="667" ht="15.75" spans="1:7">
      <c r="A667" s="12">
        <v>666</v>
      </c>
      <c r="B667" s="16">
        <v>13</v>
      </c>
      <c r="C667" s="25">
        <v>1</v>
      </c>
      <c r="D667" s="14">
        <v>2278.35085470086</v>
      </c>
      <c r="E667" s="14">
        <v>1021.56239316239</v>
      </c>
      <c r="F667" s="15" t="s">
        <v>188</v>
      </c>
      <c r="G667" s="1" t="s">
        <v>111</v>
      </c>
    </row>
    <row r="668" ht="15.75" spans="1:7">
      <c r="A668" s="12">
        <v>667</v>
      </c>
      <c r="B668" s="16">
        <v>13</v>
      </c>
      <c r="C668" s="25">
        <v>1</v>
      </c>
      <c r="D668" s="14">
        <v>1786.49102564103</v>
      </c>
      <c r="E668" s="14">
        <v>1330.47435897436</v>
      </c>
      <c r="F668" s="15" t="s">
        <v>111</v>
      </c>
      <c r="G668" s="1" t="s">
        <v>111</v>
      </c>
    </row>
    <row r="669" ht="15.75" spans="1:7">
      <c r="A669" s="12">
        <v>668</v>
      </c>
      <c r="B669" s="16">
        <v>13</v>
      </c>
      <c r="C669" s="25">
        <v>1</v>
      </c>
      <c r="D669" s="14">
        <v>1783.49188034188</v>
      </c>
      <c r="E669" s="14">
        <v>1414.45042735043</v>
      </c>
      <c r="F669" s="15" t="s">
        <v>111</v>
      </c>
      <c r="G669" s="1" t="s">
        <v>189</v>
      </c>
    </row>
    <row r="670" ht="15.75" spans="1:7">
      <c r="A670" s="12">
        <v>669</v>
      </c>
      <c r="B670" s="16">
        <v>13</v>
      </c>
      <c r="C670" s="25">
        <v>1</v>
      </c>
      <c r="D670" s="14">
        <v>1762.49786324786</v>
      </c>
      <c r="E670" s="14">
        <v>1543.41367521368</v>
      </c>
      <c r="F670" s="15" t="s">
        <v>189</v>
      </c>
      <c r="G670" s="1" t="s">
        <v>112</v>
      </c>
    </row>
    <row r="671" ht="15.75" spans="1:7">
      <c r="A671" s="12">
        <v>670</v>
      </c>
      <c r="B671" s="16">
        <v>13</v>
      </c>
      <c r="C671" s="26">
        <v>3</v>
      </c>
      <c r="D671" s="14">
        <v>1576.55085470085</v>
      </c>
      <c r="E671" s="14">
        <v>2206.22478632479</v>
      </c>
      <c r="F671" s="15" t="s">
        <v>112</v>
      </c>
      <c r="G671" s="29">
        <v>10.3</v>
      </c>
    </row>
    <row r="672" ht="15.75" spans="1:7">
      <c r="A672" s="12">
        <v>671</v>
      </c>
      <c r="B672" s="16">
        <v>14</v>
      </c>
      <c r="C672" s="26">
        <v>3</v>
      </c>
      <c r="D672" s="14">
        <v>1891.46111111111</v>
      </c>
      <c r="E672" s="14">
        <v>2212.22307692308</v>
      </c>
      <c r="F672" s="15" t="s">
        <v>256</v>
      </c>
      <c r="G672" s="1" t="s">
        <v>211</v>
      </c>
    </row>
    <row r="673" ht="15.75" spans="1:7">
      <c r="A673" s="12">
        <v>672</v>
      </c>
      <c r="B673" s="16">
        <v>14</v>
      </c>
      <c r="C673" s="25">
        <v>1</v>
      </c>
      <c r="D673" s="14">
        <v>1855.47136752137</v>
      </c>
      <c r="E673" s="14">
        <v>1852.32564102564</v>
      </c>
      <c r="F673" s="15" t="s">
        <v>211</v>
      </c>
      <c r="G673" s="1" t="s">
        <v>211</v>
      </c>
    </row>
    <row r="674" ht="15.75" spans="1:7">
      <c r="A674" s="12">
        <v>673</v>
      </c>
      <c r="B674" s="16">
        <v>14</v>
      </c>
      <c r="C674" s="25">
        <v>1</v>
      </c>
      <c r="D674" s="14">
        <v>1870.46709401709</v>
      </c>
      <c r="E674" s="14">
        <v>1672.37692307692</v>
      </c>
      <c r="F674" s="15" t="s">
        <v>211</v>
      </c>
      <c r="G674" s="1" t="s">
        <v>213</v>
      </c>
    </row>
    <row r="675" ht="15.75" spans="1:7">
      <c r="A675" s="12">
        <v>674</v>
      </c>
      <c r="B675" s="16">
        <v>14</v>
      </c>
      <c r="C675" s="26">
        <v>3</v>
      </c>
      <c r="D675" s="14">
        <v>1648.53034188034</v>
      </c>
      <c r="E675" s="14">
        <v>1369.46324786325</v>
      </c>
      <c r="F675" s="15" t="s">
        <v>213</v>
      </c>
      <c r="G675" s="1" t="s">
        <v>217</v>
      </c>
    </row>
    <row r="676" ht="15.75" spans="1:7">
      <c r="A676" s="12">
        <v>675</v>
      </c>
      <c r="B676" s="16">
        <v>14</v>
      </c>
      <c r="C676" s="25">
        <v>1</v>
      </c>
      <c r="D676" s="14">
        <v>1735.50555555556</v>
      </c>
      <c r="E676" s="14">
        <v>1102.53931623932</v>
      </c>
      <c r="F676" s="15" t="s">
        <v>217</v>
      </c>
      <c r="G676" s="1" t="s">
        <v>218</v>
      </c>
    </row>
    <row r="677" ht="15.75" spans="1:7">
      <c r="A677" s="12">
        <v>676</v>
      </c>
      <c r="B677" s="16">
        <v>14</v>
      </c>
      <c r="C677" s="25">
        <v>4</v>
      </c>
      <c r="D677" s="14">
        <v>1825.47991452992</v>
      </c>
      <c r="E677" s="14">
        <v>781.630769230769</v>
      </c>
      <c r="F677" s="15" t="s">
        <v>218</v>
      </c>
      <c r="G677" s="1" t="s">
        <v>222</v>
      </c>
    </row>
    <row r="678" ht="15.75" spans="1:7">
      <c r="A678" s="12">
        <v>677</v>
      </c>
      <c r="B678" s="16">
        <v>14</v>
      </c>
      <c r="C678" s="25">
        <v>1</v>
      </c>
      <c r="D678" s="14">
        <v>1783.49188034188</v>
      </c>
      <c r="E678" s="14">
        <v>1387.45811965812</v>
      </c>
      <c r="F678" s="15" t="s">
        <v>222</v>
      </c>
      <c r="G678" s="1" t="s">
        <v>226</v>
      </c>
    </row>
    <row r="679" ht="15.75" spans="1:7">
      <c r="A679" s="12">
        <v>678</v>
      </c>
      <c r="B679" s="16">
        <v>14</v>
      </c>
      <c r="C679" s="25">
        <v>1</v>
      </c>
      <c r="D679" s="14">
        <v>1651.52948717949</v>
      </c>
      <c r="E679" s="14">
        <v>1657.3811965812</v>
      </c>
      <c r="F679" s="15" t="s">
        <v>226</v>
      </c>
      <c r="G679" s="1" t="s">
        <v>228</v>
      </c>
    </row>
    <row r="680" ht="15.75" spans="1:7">
      <c r="A680" s="12">
        <v>679</v>
      </c>
      <c r="B680" s="16">
        <v>14</v>
      </c>
      <c r="C680" s="25">
        <v>1</v>
      </c>
      <c r="D680" s="14">
        <v>1648.53034188034</v>
      </c>
      <c r="E680" s="14">
        <v>1840.32905982906</v>
      </c>
      <c r="F680" s="15" t="s">
        <v>228</v>
      </c>
      <c r="G680" s="1" t="s">
        <v>229</v>
      </c>
    </row>
    <row r="681" ht="15.75" spans="1:7">
      <c r="A681" s="12">
        <v>680</v>
      </c>
      <c r="B681" s="16">
        <v>14</v>
      </c>
      <c r="C681" s="26">
        <v>3</v>
      </c>
      <c r="D681" s="14">
        <v>1630.53547008547</v>
      </c>
      <c r="E681" s="14">
        <v>2149.24102564103</v>
      </c>
      <c r="F681" s="15" t="s">
        <v>229</v>
      </c>
      <c r="G681" s="1">
        <v>11.55</v>
      </c>
    </row>
    <row r="682" ht="15.75" spans="1:7">
      <c r="A682" s="12">
        <v>681</v>
      </c>
      <c r="B682" s="16">
        <v>15</v>
      </c>
      <c r="C682" s="25">
        <v>1</v>
      </c>
      <c r="D682" s="14">
        <v>1732.50641025641</v>
      </c>
      <c r="E682" s="14">
        <v>2161.23760683761</v>
      </c>
      <c r="F682" s="17" t="s">
        <v>68</v>
      </c>
      <c r="G682" s="1" t="s">
        <v>230</v>
      </c>
    </row>
    <row r="683" ht="15.75" spans="1:7">
      <c r="A683" s="12">
        <v>682</v>
      </c>
      <c r="B683" s="16">
        <v>15</v>
      </c>
      <c r="C683" s="25">
        <v>2</v>
      </c>
      <c r="D683" s="14">
        <v>1777.49358974359</v>
      </c>
      <c r="E683" s="14">
        <v>1918.30683760684</v>
      </c>
      <c r="F683" s="17" t="s">
        <v>230</v>
      </c>
      <c r="G683" s="1" t="s">
        <v>186</v>
      </c>
    </row>
    <row r="684" ht="15.75" spans="1:7">
      <c r="A684" s="12">
        <v>683</v>
      </c>
      <c r="B684" s="16">
        <v>15</v>
      </c>
      <c r="C684" s="25">
        <v>1</v>
      </c>
      <c r="D684" s="14">
        <v>1882.46367521368</v>
      </c>
      <c r="E684" s="14">
        <v>1834.33076923077</v>
      </c>
      <c r="F684" s="17" t="s">
        <v>186</v>
      </c>
      <c r="G684" s="1" t="s">
        <v>70</v>
      </c>
    </row>
    <row r="685" ht="15.75" spans="1:7">
      <c r="A685" s="12">
        <v>684</v>
      </c>
      <c r="B685" s="16">
        <v>15</v>
      </c>
      <c r="C685" s="25">
        <v>2</v>
      </c>
      <c r="D685" s="14">
        <v>1756.49957264957</v>
      </c>
      <c r="E685" s="14">
        <v>1516.42136752137</v>
      </c>
      <c r="F685" s="17" t="s">
        <v>186</v>
      </c>
      <c r="G685" s="1" t="s">
        <v>186</v>
      </c>
    </row>
    <row r="686" ht="15.75" spans="1:7">
      <c r="A686" s="12">
        <v>685</v>
      </c>
      <c r="B686" s="16">
        <v>15</v>
      </c>
      <c r="C686" s="25">
        <v>4</v>
      </c>
      <c r="D686" s="14">
        <v>1774.49444444444</v>
      </c>
      <c r="E686" s="14">
        <v>1336.47264957265</v>
      </c>
      <c r="F686" s="17" t="s">
        <v>70</v>
      </c>
      <c r="G686" s="1" t="s">
        <v>70</v>
      </c>
    </row>
    <row r="687" ht="15.75" spans="1:7">
      <c r="A687" s="12">
        <v>686</v>
      </c>
      <c r="B687" s="16">
        <v>15</v>
      </c>
      <c r="C687" s="25">
        <v>1</v>
      </c>
      <c r="D687" s="14">
        <v>1771.4952991453</v>
      </c>
      <c r="E687" s="14">
        <v>1288.48632478632</v>
      </c>
      <c r="F687" s="17" t="s">
        <v>70</v>
      </c>
      <c r="G687" s="1" t="s">
        <v>141</v>
      </c>
    </row>
    <row r="688" ht="15.75" spans="1:7">
      <c r="A688" s="12">
        <v>687</v>
      </c>
      <c r="B688" s="16">
        <v>15</v>
      </c>
      <c r="C688" s="25">
        <v>1</v>
      </c>
      <c r="D688" s="14">
        <v>1393.60299145299</v>
      </c>
      <c r="E688" s="14">
        <v>1282.48803418803</v>
      </c>
      <c r="F688" s="17" t="s">
        <v>141</v>
      </c>
      <c r="G688" s="1" t="s">
        <v>74</v>
      </c>
    </row>
    <row r="689" ht="15.75" spans="1:7">
      <c r="A689" s="12">
        <v>688</v>
      </c>
      <c r="B689" s="16">
        <v>15</v>
      </c>
      <c r="C689" s="25">
        <v>1</v>
      </c>
      <c r="D689" s="14">
        <v>1309.62692307692</v>
      </c>
      <c r="E689" s="14">
        <v>1231.50256410256</v>
      </c>
      <c r="F689" s="17" t="s">
        <v>74</v>
      </c>
      <c r="G689" s="1" t="s">
        <v>75</v>
      </c>
    </row>
    <row r="690" ht="15.75" spans="1:7">
      <c r="A690" s="12">
        <v>689</v>
      </c>
      <c r="B690" s="16">
        <v>15</v>
      </c>
      <c r="C690" s="25">
        <v>2</v>
      </c>
      <c r="D690" s="14">
        <v>1192.66025641026</v>
      </c>
      <c r="E690" s="14">
        <v>1177.51794871795</v>
      </c>
      <c r="F690" s="17" t="s">
        <v>75</v>
      </c>
      <c r="G690" s="1" t="s">
        <v>78</v>
      </c>
    </row>
    <row r="691" ht="15.75" spans="1:7">
      <c r="A691" s="12">
        <v>690</v>
      </c>
      <c r="B691" s="16">
        <v>15</v>
      </c>
      <c r="C691" s="25">
        <v>2</v>
      </c>
      <c r="D691" s="14">
        <v>1384.60555555556</v>
      </c>
      <c r="E691" s="14">
        <v>1150.52564102564</v>
      </c>
      <c r="F691" s="17" t="s">
        <v>78</v>
      </c>
      <c r="G691" s="1" t="s">
        <v>79</v>
      </c>
    </row>
    <row r="692" ht="15.75" spans="1:7">
      <c r="A692" s="12">
        <v>691</v>
      </c>
      <c r="B692" s="16">
        <v>15</v>
      </c>
      <c r="C692" s="25">
        <v>1</v>
      </c>
      <c r="D692" s="14">
        <v>1381.60641025641</v>
      </c>
      <c r="E692" s="14">
        <v>1045.55555555556</v>
      </c>
      <c r="F692" s="17" t="s">
        <v>79</v>
      </c>
      <c r="G692" s="1" t="s">
        <v>257</v>
      </c>
    </row>
    <row r="693" ht="15.75" spans="1:7">
      <c r="A693" s="12">
        <v>692</v>
      </c>
      <c r="B693" s="16">
        <v>15</v>
      </c>
      <c r="C693" s="25">
        <v>1</v>
      </c>
      <c r="D693" s="14">
        <v>1231.64914529915</v>
      </c>
      <c r="E693" s="14">
        <v>1018.56324786325</v>
      </c>
      <c r="F693" s="18" t="s">
        <v>257</v>
      </c>
      <c r="G693" s="1" t="s">
        <v>80</v>
      </c>
    </row>
    <row r="694" ht="15.75" spans="1:7">
      <c r="A694" s="12">
        <v>693</v>
      </c>
      <c r="B694" s="16">
        <v>15</v>
      </c>
      <c r="C694" s="25">
        <v>1</v>
      </c>
      <c r="D694" s="14">
        <v>1138.67564102564</v>
      </c>
      <c r="E694" s="14">
        <v>913.593162393162</v>
      </c>
      <c r="F694" s="17" t="s">
        <v>80</v>
      </c>
      <c r="G694" s="1" t="s">
        <v>81</v>
      </c>
    </row>
    <row r="695" ht="15.75" spans="1:7">
      <c r="A695" s="12">
        <v>694</v>
      </c>
      <c r="B695" s="16">
        <v>15</v>
      </c>
      <c r="C695" s="25">
        <v>2</v>
      </c>
      <c r="D695" s="14">
        <v>1156.67051282051</v>
      </c>
      <c r="E695" s="14">
        <v>877.603418803419</v>
      </c>
      <c r="F695" s="17" t="s">
        <v>81</v>
      </c>
      <c r="G695" s="1" t="s">
        <v>81</v>
      </c>
    </row>
    <row r="696" ht="15.75" spans="1:7">
      <c r="A696" s="12">
        <v>695</v>
      </c>
      <c r="B696" s="16">
        <v>15</v>
      </c>
      <c r="C696" s="25">
        <v>1</v>
      </c>
      <c r="D696" s="14">
        <v>1375.60811965812</v>
      </c>
      <c r="E696" s="14">
        <v>817.620512820513</v>
      </c>
      <c r="F696" s="17" t="s">
        <v>81</v>
      </c>
      <c r="G696" s="1" t="s">
        <v>82</v>
      </c>
    </row>
    <row r="697" ht="15.75" spans="1:7">
      <c r="A697" s="12">
        <v>696</v>
      </c>
      <c r="B697" s="16">
        <v>15</v>
      </c>
      <c r="C697" s="25">
        <v>2</v>
      </c>
      <c r="D697" s="14">
        <v>1345.61666666667</v>
      </c>
      <c r="E697" s="14">
        <v>763.635897435897</v>
      </c>
      <c r="F697" s="17" t="s">
        <v>82</v>
      </c>
      <c r="G697" s="1" t="s">
        <v>83</v>
      </c>
    </row>
    <row r="698" ht="15.75" spans="1:7">
      <c r="A698" s="12">
        <v>697</v>
      </c>
      <c r="B698" s="16">
        <v>15</v>
      </c>
      <c r="C698" s="25">
        <v>1</v>
      </c>
      <c r="D698" s="14">
        <v>1399.60128205128</v>
      </c>
      <c r="E698" s="14">
        <v>742.64188034188</v>
      </c>
      <c r="F698" s="17" t="s">
        <v>83</v>
      </c>
      <c r="G698" s="1" t="s">
        <v>83</v>
      </c>
    </row>
    <row r="699" ht="15.75" spans="1:7">
      <c r="A699" s="12">
        <v>698</v>
      </c>
      <c r="B699" s="16">
        <v>15</v>
      </c>
      <c r="C699" s="25">
        <v>1</v>
      </c>
      <c r="D699" s="14">
        <v>1384.60555555556</v>
      </c>
      <c r="E699" s="14">
        <v>616.677777777778</v>
      </c>
      <c r="F699" s="17" t="s">
        <v>83</v>
      </c>
      <c r="G699" s="1" t="s">
        <v>84</v>
      </c>
    </row>
    <row r="700" ht="15.75" spans="1:7">
      <c r="A700" s="12">
        <v>699</v>
      </c>
      <c r="B700" s="16">
        <v>15</v>
      </c>
      <c r="C700" s="25">
        <v>1</v>
      </c>
      <c r="D700" s="14">
        <v>1324.62264957265</v>
      </c>
      <c r="E700" s="14">
        <v>640.67094017094</v>
      </c>
      <c r="F700" s="17" t="s">
        <v>84</v>
      </c>
      <c r="G700" s="1" t="s">
        <v>85</v>
      </c>
    </row>
    <row r="701" ht="15.75" spans="1:7">
      <c r="A701" s="12">
        <v>700</v>
      </c>
      <c r="B701" s="16">
        <v>15</v>
      </c>
      <c r="C701" s="25">
        <v>1</v>
      </c>
      <c r="D701" s="14">
        <v>1348.61581196581</v>
      </c>
      <c r="E701" s="14">
        <v>373.747008547008</v>
      </c>
      <c r="F701" s="17" t="s">
        <v>85</v>
      </c>
      <c r="G701" s="1" t="s">
        <v>86</v>
      </c>
    </row>
    <row r="702" ht="15.75" spans="1:7">
      <c r="A702" s="12">
        <v>701</v>
      </c>
      <c r="B702" s="16">
        <v>15</v>
      </c>
      <c r="C702" s="25">
        <v>2</v>
      </c>
      <c r="D702" s="14">
        <v>1468.58162393162</v>
      </c>
      <c r="E702" s="14">
        <v>298.768376068376</v>
      </c>
      <c r="F702" s="17" t="s">
        <v>86</v>
      </c>
      <c r="G702" s="1" t="s">
        <v>86</v>
      </c>
    </row>
    <row r="703" ht="15.75" spans="1:7">
      <c r="A703" s="12">
        <v>702</v>
      </c>
      <c r="B703" s="16">
        <v>15</v>
      </c>
      <c r="C703" s="25">
        <v>1</v>
      </c>
      <c r="D703" s="14">
        <v>1348.61581196581</v>
      </c>
      <c r="E703" s="14">
        <v>283.772649572649</v>
      </c>
      <c r="F703" s="17" t="s">
        <v>86</v>
      </c>
      <c r="G703" s="1" t="s">
        <v>142</v>
      </c>
    </row>
    <row r="704" ht="15.75" spans="1:7">
      <c r="A704" s="12">
        <v>703</v>
      </c>
      <c r="B704" s="16">
        <v>15</v>
      </c>
      <c r="C704" s="25">
        <v>2</v>
      </c>
      <c r="D704" s="14">
        <v>1702.51495726496</v>
      </c>
      <c r="E704" s="14">
        <v>352.752991452991</v>
      </c>
      <c r="F704" s="17" t="s">
        <v>142</v>
      </c>
      <c r="G704" s="1" t="s">
        <v>142</v>
      </c>
    </row>
    <row r="705" ht="15.75" spans="1:7">
      <c r="A705" s="12">
        <v>704</v>
      </c>
      <c r="B705" s="16">
        <v>15</v>
      </c>
      <c r="C705" s="25">
        <v>2</v>
      </c>
      <c r="D705" s="14">
        <v>2026.42264957265</v>
      </c>
      <c r="E705" s="14">
        <v>316.763247863248</v>
      </c>
      <c r="F705" s="17" t="s">
        <v>142</v>
      </c>
      <c r="G705" s="1" t="s">
        <v>87</v>
      </c>
    </row>
    <row r="706" ht="15.75" spans="1:7">
      <c r="A706" s="12">
        <v>705</v>
      </c>
      <c r="B706" s="16">
        <v>15</v>
      </c>
      <c r="C706" s="25">
        <v>1</v>
      </c>
      <c r="D706" s="14">
        <v>2263.35512820513</v>
      </c>
      <c r="E706" s="14">
        <v>313.764102564102</v>
      </c>
      <c r="F706" s="17" t="s">
        <v>87</v>
      </c>
      <c r="G706" s="1" t="s">
        <v>88</v>
      </c>
    </row>
    <row r="707" ht="15.75" spans="1:7">
      <c r="A707" s="12">
        <v>706</v>
      </c>
      <c r="B707" s="16">
        <v>15</v>
      </c>
      <c r="C707" s="25">
        <v>1</v>
      </c>
      <c r="D707" s="14">
        <v>2323.33803418804</v>
      </c>
      <c r="E707" s="14">
        <v>433.729914529914</v>
      </c>
      <c r="F707" s="17" t="s">
        <v>88</v>
      </c>
      <c r="G707" s="1" t="s">
        <v>88</v>
      </c>
    </row>
    <row r="708" ht="15.75" spans="1:7">
      <c r="A708" s="12">
        <v>707</v>
      </c>
      <c r="B708" s="16">
        <v>15</v>
      </c>
      <c r="C708" s="25">
        <v>2</v>
      </c>
      <c r="D708" s="14">
        <v>2290.34743589744</v>
      </c>
      <c r="E708" s="14">
        <v>559.694017094017</v>
      </c>
      <c r="F708" s="17" t="s">
        <v>88</v>
      </c>
      <c r="G708" s="1" t="s">
        <v>89</v>
      </c>
    </row>
    <row r="709" ht="15.75" spans="1:7">
      <c r="A709" s="12">
        <v>708</v>
      </c>
      <c r="B709" s="16">
        <v>15</v>
      </c>
      <c r="C709" s="25">
        <v>1</v>
      </c>
      <c r="D709" s="14">
        <v>2134.39188034188</v>
      </c>
      <c r="E709" s="14">
        <v>646.669230769231</v>
      </c>
      <c r="F709" s="17" t="s">
        <v>89</v>
      </c>
      <c r="G709" s="1" t="s">
        <v>90</v>
      </c>
    </row>
    <row r="710" ht="15.75" spans="1:7">
      <c r="A710" s="12">
        <v>709</v>
      </c>
      <c r="B710" s="16">
        <v>15</v>
      </c>
      <c r="C710" s="25">
        <v>2</v>
      </c>
      <c r="D710" s="14">
        <v>2128.39358974359</v>
      </c>
      <c r="E710" s="14">
        <v>874.604273504274</v>
      </c>
      <c r="F710" s="17" t="s">
        <v>90</v>
      </c>
      <c r="G710" s="1" t="s">
        <v>91</v>
      </c>
    </row>
    <row r="711" ht="15.75" spans="1:7">
      <c r="A711" s="12">
        <v>710</v>
      </c>
      <c r="B711" s="16">
        <v>15</v>
      </c>
      <c r="C711" s="25">
        <v>1</v>
      </c>
      <c r="D711" s="14">
        <v>2233.36367521368</v>
      </c>
      <c r="E711" s="14">
        <v>1033.55897435897</v>
      </c>
      <c r="F711" s="17" t="s">
        <v>91</v>
      </c>
      <c r="G711" s="1" t="s">
        <v>92</v>
      </c>
    </row>
    <row r="712" ht="15.75" spans="1:7">
      <c r="A712" s="12">
        <v>711</v>
      </c>
      <c r="B712" s="16">
        <v>15</v>
      </c>
      <c r="C712" s="25">
        <v>2</v>
      </c>
      <c r="D712" s="14">
        <v>2125.39444444445</v>
      </c>
      <c r="E712" s="14">
        <v>1102.53931623932</v>
      </c>
      <c r="F712" s="17" t="s">
        <v>92</v>
      </c>
      <c r="G712" s="1" t="s">
        <v>93</v>
      </c>
    </row>
    <row r="713" ht="15.75" spans="1:7">
      <c r="A713" s="12">
        <v>712</v>
      </c>
      <c r="B713" s="16">
        <v>15</v>
      </c>
      <c r="C713" s="25">
        <v>1</v>
      </c>
      <c r="D713" s="14">
        <v>2194.37478632479</v>
      </c>
      <c r="E713" s="14">
        <v>1186.51538461538</v>
      </c>
      <c r="F713" s="17" t="s">
        <v>93</v>
      </c>
      <c r="G713" s="1" t="s">
        <v>93</v>
      </c>
    </row>
    <row r="714" ht="15.75" spans="1:7">
      <c r="A714" s="12">
        <v>713</v>
      </c>
      <c r="B714" s="16">
        <v>15</v>
      </c>
      <c r="C714" s="25">
        <v>1</v>
      </c>
      <c r="D714" s="14">
        <v>2287.34829059829</v>
      </c>
      <c r="E714" s="14">
        <v>1168.52051282051</v>
      </c>
      <c r="F714" s="17" t="s">
        <v>93</v>
      </c>
      <c r="G714" s="1" t="s">
        <v>95</v>
      </c>
    </row>
    <row r="715" ht="15.75" spans="1:7">
      <c r="A715" s="12">
        <v>714</v>
      </c>
      <c r="B715" s="16">
        <v>15</v>
      </c>
      <c r="C715" s="25">
        <v>1</v>
      </c>
      <c r="D715" s="14">
        <v>2305.34316239316</v>
      </c>
      <c r="E715" s="14">
        <v>1321.47692307692</v>
      </c>
      <c r="F715" s="17" t="s">
        <v>95</v>
      </c>
      <c r="G715" s="1" t="s">
        <v>96</v>
      </c>
    </row>
    <row r="716" ht="15.75" spans="1:7">
      <c r="A716" s="12">
        <v>715</v>
      </c>
      <c r="B716" s="16">
        <v>15</v>
      </c>
      <c r="C716" s="25">
        <v>1</v>
      </c>
      <c r="D716" s="14">
        <v>2176.37991452992</v>
      </c>
      <c r="E716" s="14">
        <v>1255.49572649573</v>
      </c>
      <c r="F716" s="17" t="s">
        <v>96</v>
      </c>
      <c r="G716" s="1" t="s">
        <v>98</v>
      </c>
    </row>
    <row r="717" ht="15.75" spans="1:7">
      <c r="A717" s="12">
        <v>716</v>
      </c>
      <c r="B717" s="16">
        <v>15</v>
      </c>
      <c r="C717" s="25">
        <v>2</v>
      </c>
      <c r="D717" s="14">
        <v>2026.42264957265</v>
      </c>
      <c r="E717" s="14">
        <v>1306.4811965812</v>
      </c>
      <c r="F717" s="17" t="s">
        <v>98</v>
      </c>
      <c r="G717" s="1" t="s">
        <v>99</v>
      </c>
    </row>
    <row r="718" ht="15.75" spans="1:7">
      <c r="A718" s="12">
        <v>717</v>
      </c>
      <c r="B718" s="16">
        <v>15</v>
      </c>
      <c r="C718" s="25">
        <v>2</v>
      </c>
      <c r="D718" s="14">
        <v>1726.50811965812</v>
      </c>
      <c r="E718" s="14">
        <v>1291.48547008547</v>
      </c>
      <c r="F718" s="17" t="s">
        <v>99</v>
      </c>
      <c r="G718" s="1" t="s">
        <v>100</v>
      </c>
    </row>
    <row r="719" ht="15.75" spans="1:7">
      <c r="A719" s="12">
        <v>718</v>
      </c>
      <c r="B719" s="16">
        <v>15</v>
      </c>
      <c r="C719" s="25">
        <v>1</v>
      </c>
      <c r="D719" s="14">
        <v>1408.59871794872</v>
      </c>
      <c r="E719" s="14">
        <v>1291.48547008547</v>
      </c>
      <c r="F719" s="17" t="s">
        <v>100</v>
      </c>
      <c r="G719" s="1" t="s">
        <v>100</v>
      </c>
    </row>
    <row r="720" ht="15.75" spans="1:7">
      <c r="A720" s="12">
        <v>719</v>
      </c>
      <c r="B720" s="16">
        <v>15</v>
      </c>
      <c r="C720" s="25">
        <v>2</v>
      </c>
      <c r="D720" s="14">
        <v>1252.64316239316</v>
      </c>
      <c r="E720" s="14">
        <v>1258.49487179487</v>
      </c>
      <c r="F720" s="17" t="s">
        <v>100</v>
      </c>
      <c r="G720" s="1" t="s">
        <v>101</v>
      </c>
    </row>
    <row r="721" ht="15.75" spans="1:7">
      <c r="A721" s="12">
        <v>720</v>
      </c>
      <c r="B721" s="16">
        <v>15</v>
      </c>
      <c r="C721" s="25">
        <v>1</v>
      </c>
      <c r="D721" s="14">
        <v>1249.64401709402</v>
      </c>
      <c r="E721" s="14">
        <v>1156.52393162393</v>
      </c>
      <c r="F721" s="17" t="s">
        <v>101</v>
      </c>
      <c r="G721" s="1" t="s">
        <v>103</v>
      </c>
    </row>
    <row r="722" ht="15.75" spans="1:7">
      <c r="A722" s="12">
        <v>721</v>
      </c>
      <c r="B722" s="16">
        <v>15</v>
      </c>
      <c r="C722" s="25">
        <v>2</v>
      </c>
      <c r="D722" s="14">
        <v>1354.6141025641</v>
      </c>
      <c r="E722" s="14">
        <v>1144.52735042735</v>
      </c>
      <c r="F722" s="17" t="s">
        <v>103</v>
      </c>
      <c r="G722" s="1" t="s">
        <v>104</v>
      </c>
    </row>
    <row r="723" ht="15.75" spans="1:7">
      <c r="A723" s="12">
        <v>722</v>
      </c>
      <c r="B723" s="16">
        <v>15</v>
      </c>
      <c r="C723" s="25">
        <v>1</v>
      </c>
      <c r="D723" s="14">
        <v>1384.60555555556</v>
      </c>
      <c r="E723" s="14">
        <v>1087.54358974359</v>
      </c>
      <c r="F723" s="17" t="s">
        <v>104</v>
      </c>
      <c r="G723" s="1" t="s">
        <v>105</v>
      </c>
    </row>
    <row r="724" ht="15.75" spans="1:7">
      <c r="A724" s="12">
        <v>723</v>
      </c>
      <c r="B724" s="16">
        <v>15</v>
      </c>
      <c r="C724" s="25">
        <v>2</v>
      </c>
      <c r="D724" s="14">
        <v>1258.64145299145</v>
      </c>
      <c r="E724" s="14">
        <v>1069.54871794872</v>
      </c>
      <c r="F724" s="17" t="s">
        <v>105</v>
      </c>
      <c r="G724" s="1" t="s">
        <v>105</v>
      </c>
    </row>
    <row r="725" ht="15.75" spans="1:7">
      <c r="A725" s="12">
        <v>724</v>
      </c>
      <c r="B725" s="16">
        <v>15</v>
      </c>
      <c r="C725" s="25">
        <v>1</v>
      </c>
      <c r="D725" s="14">
        <v>1228.65</v>
      </c>
      <c r="E725" s="14">
        <v>967.577777777778</v>
      </c>
      <c r="F725" s="17" t="s">
        <v>105</v>
      </c>
      <c r="G725" s="1" t="s">
        <v>106</v>
      </c>
    </row>
    <row r="726" ht="15.75" spans="1:7">
      <c r="A726" s="12">
        <v>725</v>
      </c>
      <c r="B726" s="16">
        <v>15</v>
      </c>
      <c r="C726" s="25">
        <v>2</v>
      </c>
      <c r="D726" s="14">
        <v>1384.60555555556</v>
      </c>
      <c r="E726" s="14">
        <v>898.597435897436</v>
      </c>
      <c r="F726" s="17" t="s">
        <v>106</v>
      </c>
      <c r="G726" s="1" t="s">
        <v>106</v>
      </c>
    </row>
    <row r="727" ht="15.75" spans="1:7">
      <c r="A727" s="12">
        <v>726</v>
      </c>
      <c r="B727" s="16">
        <v>15</v>
      </c>
      <c r="C727" s="25">
        <v>1</v>
      </c>
      <c r="D727" s="14">
        <v>1366.61068376068</v>
      </c>
      <c r="E727" s="14">
        <v>670.662393162393</v>
      </c>
      <c r="F727" s="17" t="s">
        <v>106</v>
      </c>
      <c r="G727" s="1" t="s">
        <v>187</v>
      </c>
    </row>
    <row r="728" ht="15.75" spans="1:7">
      <c r="A728" s="12">
        <v>727</v>
      </c>
      <c r="B728" s="16">
        <v>15</v>
      </c>
      <c r="C728" s="25">
        <v>1</v>
      </c>
      <c r="D728" s="14">
        <v>1318.62435897436</v>
      </c>
      <c r="E728" s="14">
        <v>544.69829059829</v>
      </c>
      <c r="F728" s="17" t="s">
        <v>187</v>
      </c>
      <c r="G728" s="1" t="s">
        <v>187</v>
      </c>
    </row>
    <row r="729" ht="15.75" spans="1:7">
      <c r="A729" s="12">
        <v>728</v>
      </c>
      <c r="B729" s="16">
        <v>15</v>
      </c>
      <c r="C729" s="25">
        <v>1</v>
      </c>
      <c r="D729" s="14">
        <v>1372.60897435897</v>
      </c>
      <c r="E729" s="14">
        <v>469.719658119658</v>
      </c>
      <c r="F729" s="17" t="s">
        <v>187</v>
      </c>
      <c r="G729" s="1" t="s">
        <v>187</v>
      </c>
    </row>
    <row r="730" ht="15.75" spans="1:7">
      <c r="A730" s="12">
        <v>729</v>
      </c>
      <c r="B730" s="16">
        <v>15</v>
      </c>
      <c r="C730" s="25">
        <v>1</v>
      </c>
      <c r="D730" s="14">
        <v>1258.64145299145</v>
      </c>
      <c r="E730" s="14">
        <v>331.758974358974</v>
      </c>
      <c r="F730" s="17" t="s">
        <v>187</v>
      </c>
      <c r="G730" s="1" t="s">
        <v>110</v>
      </c>
    </row>
    <row r="731" ht="15.75" spans="1:7">
      <c r="A731" s="12">
        <v>730</v>
      </c>
      <c r="B731" s="16">
        <v>15</v>
      </c>
      <c r="C731" s="25">
        <v>2</v>
      </c>
      <c r="D731" s="14">
        <v>1252.64316239316</v>
      </c>
      <c r="E731" s="14">
        <v>394.741025641025</v>
      </c>
      <c r="F731" s="17" t="s">
        <v>110</v>
      </c>
      <c r="G731" s="1" t="s">
        <v>111</v>
      </c>
    </row>
    <row r="732" ht="15.75" spans="1:7">
      <c r="A732" s="12">
        <v>731</v>
      </c>
      <c r="B732" s="16">
        <v>15</v>
      </c>
      <c r="C732" s="25">
        <v>1</v>
      </c>
      <c r="D732" s="14">
        <v>1399.60128205128</v>
      </c>
      <c r="E732" s="14">
        <v>346.754700854701</v>
      </c>
      <c r="F732" s="17" t="s">
        <v>111</v>
      </c>
      <c r="G732" s="1" t="s">
        <v>111</v>
      </c>
    </row>
    <row r="733" ht="15.75" spans="1:7">
      <c r="A733" s="12">
        <v>732</v>
      </c>
      <c r="B733" s="16">
        <v>15</v>
      </c>
      <c r="C733" s="25">
        <v>1</v>
      </c>
      <c r="D733" s="14">
        <v>1552.55769230769</v>
      </c>
      <c r="E733" s="14">
        <v>307.765811965812</v>
      </c>
      <c r="F733" s="17" t="s">
        <v>111</v>
      </c>
      <c r="G733" s="1" t="s">
        <v>190</v>
      </c>
    </row>
    <row r="734" ht="15.75" spans="1:7">
      <c r="A734" s="12">
        <v>733</v>
      </c>
      <c r="B734" s="16">
        <v>15</v>
      </c>
      <c r="C734" s="25">
        <v>1</v>
      </c>
      <c r="D734" s="14">
        <v>1849.47307692308</v>
      </c>
      <c r="E734" s="14">
        <v>412.735897435897</v>
      </c>
      <c r="F734" s="17" t="s">
        <v>190</v>
      </c>
      <c r="G734" s="1" t="s">
        <v>112</v>
      </c>
    </row>
    <row r="735" ht="15.75" spans="1:7">
      <c r="A735" s="12">
        <v>734</v>
      </c>
      <c r="B735" s="16">
        <v>15</v>
      </c>
      <c r="C735" s="25">
        <v>1</v>
      </c>
      <c r="D735" s="14">
        <v>2008.42777777778</v>
      </c>
      <c r="E735" s="14">
        <v>322.761538461538</v>
      </c>
      <c r="F735" s="17" t="s">
        <v>112</v>
      </c>
      <c r="G735" s="1" t="s">
        <v>112</v>
      </c>
    </row>
    <row r="736" ht="15.75" spans="1:7">
      <c r="A736" s="12">
        <v>735</v>
      </c>
      <c r="B736" s="16">
        <v>15</v>
      </c>
      <c r="C736" s="25">
        <v>2</v>
      </c>
      <c r="D736" s="14">
        <v>2278.35085470086</v>
      </c>
      <c r="E736" s="14">
        <v>310.764957264957</v>
      </c>
      <c r="F736" s="17" t="s">
        <v>112</v>
      </c>
      <c r="G736" s="1" t="s">
        <v>113</v>
      </c>
    </row>
    <row r="737" ht="15.75" spans="1:7">
      <c r="A737" s="12">
        <v>736</v>
      </c>
      <c r="B737" s="16">
        <v>15</v>
      </c>
      <c r="C737" s="25">
        <v>1</v>
      </c>
      <c r="D737" s="14">
        <v>2131.39273504274</v>
      </c>
      <c r="E737" s="14">
        <v>484.715384615384</v>
      </c>
      <c r="F737" s="17" t="s">
        <v>113</v>
      </c>
      <c r="G737" s="1" t="s">
        <v>113</v>
      </c>
    </row>
    <row r="738" ht="15.75" spans="1:7">
      <c r="A738" s="12">
        <v>737</v>
      </c>
      <c r="B738" s="16">
        <v>15</v>
      </c>
      <c r="C738" s="25">
        <v>1</v>
      </c>
      <c r="D738" s="14">
        <v>2284.34914529915</v>
      </c>
      <c r="E738" s="14">
        <v>526.703418803419</v>
      </c>
      <c r="F738" s="17" t="s">
        <v>113</v>
      </c>
      <c r="G738" s="1" t="s">
        <v>191</v>
      </c>
    </row>
    <row r="739" ht="15.75" spans="1:7">
      <c r="A739" s="12">
        <v>738</v>
      </c>
      <c r="B739" s="16">
        <v>15</v>
      </c>
      <c r="C739" s="25">
        <v>2</v>
      </c>
      <c r="D739" s="14">
        <v>2122.3952991453</v>
      </c>
      <c r="E739" s="14">
        <v>862.607692307692</v>
      </c>
      <c r="F739" s="17" t="s">
        <v>191</v>
      </c>
      <c r="G739" s="1" t="s">
        <v>192</v>
      </c>
    </row>
    <row r="740" ht="15.75" spans="1:7">
      <c r="A740" s="12">
        <v>739</v>
      </c>
      <c r="B740" s="16">
        <v>15</v>
      </c>
      <c r="C740" s="25">
        <v>4</v>
      </c>
      <c r="D740" s="14">
        <v>2104.40042735043</v>
      </c>
      <c r="E740" s="14">
        <v>1267.49230769231</v>
      </c>
      <c r="F740" s="17" t="s">
        <v>192</v>
      </c>
      <c r="G740" s="1" t="s">
        <v>115</v>
      </c>
    </row>
    <row r="741" ht="15.75" spans="1:7">
      <c r="A741" s="12">
        <v>740</v>
      </c>
      <c r="B741" s="16">
        <v>15</v>
      </c>
      <c r="C741" s="26">
        <v>3</v>
      </c>
      <c r="D741" s="14">
        <v>2005.42863247863</v>
      </c>
      <c r="E741" s="14">
        <v>1309.48034188034</v>
      </c>
      <c r="F741" s="18" t="s">
        <v>115</v>
      </c>
      <c r="G741" s="18" t="s">
        <v>231</v>
      </c>
    </row>
    <row r="742" ht="15.75" spans="1:7">
      <c r="A742" s="12">
        <v>741</v>
      </c>
      <c r="B742" s="1">
        <v>16</v>
      </c>
      <c r="C742" s="25">
        <v>2</v>
      </c>
      <c r="D742" s="14">
        <v>1633.53461538462</v>
      </c>
      <c r="E742" s="14">
        <v>2227.2188034188</v>
      </c>
      <c r="F742" s="17" t="s">
        <v>201</v>
      </c>
      <c r="G742" s="1" t="s">
        <v>202</v>
      </c>
    </row>
    <row r="743" ht="15.75" spans="1:7">
      <c r="A743" s="12">
        <v>742</v>
      </c>
      <c r="B743" s="1">
        <v>16</v>
      </c>
      <c r="C743" s="25">
        <v>1</v>
      </c>
      <c r="D743" s="14">
        <v>1750.50128205128</v>
      </c>
      <c r="E743" s="14">
        <v>1900.31196581197</v>
      </c>
      <c r="F743" s="17" t="s">
        <v>202</v>
      </c>
      <c r="G743" s="1" t="s">
        <v>202</v>
      </c>
    </row>
    <row r="744" ht="15.75" spans="1:7">
      <c r="A744" s="12">
        <v>743</v>
      </c>
      <c r="B744" s="1">
        <v>16</v>
      </c>
      <c r="C744" s="25">
        <v>1</v>
      </c>
      <c r="D744" s="14">
        <v>1759.49871794872</v>
      </c>
      <c r="E744" s="14">
        <v>1600.39743589744</v>
      </c>
      <c r="F744" s="17" t="s">
        <v>202</v>
      </c>
      <c r="G744" s="1" t="s">
        <v>203</v>
      </c>
    </row>
    <row r="745" ht="15.75" spans="1:7">
      <c r="A745" s="12">
        <v>744</v>
      </c>
      <c r="B745" s="1">
        <v>16</v>
      </c>
      <c r="C745" s="25">
        <v>1</v>
      </c>
      <c r="D745" s="14">
        <v>1927.45085470086</v>
      </c>
      <c r="E745" s="14">
        <v>1228.50341880342</v>
      </c>
      <c r="F745" s="17" t="s">
        <v>203</v>
      </c>
      <c r="G745" s="1" t="s">
        <v>203</v>
      </c>
    </row>
    <row r="746" ht="15.75" spans="1:7">
      <c r="A746" s="12">
        <v>745</v>
      </c>
      <c r="B746" s="1">
        <v>16</v>
      </c>
      <c r="C746" s="25">
        <v>1</v>
      </c>
      <c r="D746" s="14">
        <v>1672.5235042735</v>
      </c>
      <c r="E746" s="14">
        <v>1306.4811965812</v>
      </c>
      <c r="F746" s="17" t="s">
        <v>203</v>
      </c>
      <c r="G746" s="1" t="s">
        <v>205</v>
      </c>
    </row>
    <row r="747" ht="15.75" spans="1:7">
      <c r="A747" s="12">
        <v>746</v>
      </c>
      <c r="B747" s="1">
        <v>16</v>
      </c>
      <c r="C747" s="25">
        <v>1</v>
      </c>
      <c r="D747" s="14">
        <v>1321.6235042735</v>
      </c>
      <c r="E747" s="14">
        <v>1228.50341880342</v>
      </c>
      <c r="F747" s="17" t="s">
        <v>205</v>
      </c>
      <c r="G747" s="1" t="s">
        <v>135</v>
      </c>
    </row>
    <row r="748" ht="15.75" spans="1:7">
      <c r="A748" s="12">
        <v>747</v>
      </c>
      <c r="B748" s="1">
        <v>16</v>
      </c>
      <c r="C748" s="25">
        <v>1</v>
      </c>
      <c r="D748" s="14">
        <v>1192.66025641026</v>
      </c>
      <c r="E748" s="14">
        <v>1216.50683760684</v>
      </c>
      <c r="F748" s="17" t="s">
        <v>135</v>
      </c>
      <c r="G748" s="1" t="s">
        <v>206</v>
      </c>
    </row>
    <row r="749" ht="15.75" spans="1:7">
      <c r="A749" s="12">
        <v>748</v>
      </c>
      <c r="B749" s="1">
        <v>16</v>
      </c>
      <c r="C749" s="25">
        <v>1</v>
      </c>
      <c r="D749" s="14">
        <v>1312.62606837607</v>
      </c>
      <c r="E749" s="14">
        <v>1171.51965811966</v>
      </c>
      <c r="F749" s="17" t="s">
        <v>206</v>
      </c>
      <c r="G749" s="1" t="s">
        <v>208</v>
      </c>
    </row>
    <row r="750" ht="15.75" spans="1:7">
      <c r="A750" s="12">
        <v>749</v>
      </c>
      <c r="B750" s="1">
        <v>16</v>
      </c>
      <c r="C750" s="25">
        <v>1</v>
      </c>
      <c r="D750" s="14">
        <v>1381.60641025641</v>
      </c>
      <c r="E750" s="14">
        <v>1117.53504273504</v>
      </c>
      <c r="F750" s="17" t="s">
        <v>208</v>
      </c>
      <c r="G750" s="1" t="s">
        <v>208</v>
      </c>
    </row>
    <row r="751" ht="15.75" spans="1:7">
      <c r="A751" s="12">
        <v>750</v>
      </c>
      <c r="B751" s="1">
        <v>16</v>
      </c>
      <c r="C751" s="25">
        <v>2</v>
      </c>
      <c r="D751" s="14">
        <v>1366.61068376068</v>
      </c>
      <c r="E751" s="14">
        <v>1033.55897435897</v>
      </c>
      <c r="F751" s="17" t="s">
        <v>208</v>
      </c>
      <c r="G751" s="1" t="s">
        <v>209</v>
      </c>
    </row>
    <row r="752" ht="15.75" spans="1:7">
      <c r="A752" s="12">
        <v>751</v>
      </c>
      <c r="B752" s="1">
        <v>16</v>
      </c>
      <c r="C752" s="25">
        <v>1</v>
      </c>
      <c r="D752" s="14">
        <v>1306.62777777778</v>
      </c>
      <c r="E752" s="14">
        <v>1045.55555555556</v>
      </c>
      <c r="F752" s="17" t="s">
        <v>209</v>
      </c>
      <c r="G752" s="1" t="s">
        <v>209</v>
      </c>
    </row>
    <row r="753" ht="15.75" spans="1:7">
      <c r="A753" s="12">
        <v>752</v>
      </c>
      <c r="B753" s="1">
        <v>16</v>
      </c>
      <c r="C753" s="25">
        <v>1</v>
      </c>
      <c r="D753" s="14">
        <v>1195.6594017094</v>
      </c>
      <c r="E753" s="14">
        <v>1075.54700854701</v>
      </c>
      <c r="F753" s="17" t="s">
        <v>209</v>
      </c>
      <c r="G753" s="1" t="s">
        <v>210</v>
      </c>
    </row>
    <row r="754" ht="15.75" spans="1:7">
      <c r="A754" s="12">
        <v>753</v>
      </c>
      <c r="B754" s="1">
        <v>16</v>
      </c>
      <c r="C754" s="25">
        <v>1</v>
      </c>
      <c r="D754" s="14">
        <v>1156.67051282051</v>
      </c>
      <c r="E754" s="14">
        <v>907.594871794872</v>
      </c>
      <c r="F754" s="17" t="s">
        <v>210</v>
      </c>
      <c r="G754" s="1" t="s">
        <v>210</v>
      </c>
    </row>
    <row r="755" ht="15.75" spans="1:7">
      <c r="A755" s="12">
        <v>754</v>
      </c>
      <c r="B755" s="1">
        <v>16</v>
      </c>
      <c r="C755" s="25">
        <v>2</v>
      </c>
      <c r="D755" s="14">
        <v>1375.60811965812</v>
      </c>
      <c r="E755" s="14">
        <v>931.588034188034</v>
      </c>
      <c r="F755" s="17" t="s">
        <v>210</v>
      </c>
      <c r="G755" s="1" t="s">
        <v>256</v>
      </c>
    </row>
    <row r="756" ht="15.75" spans="1:7">
      <c r="A756" s="12">
        <v>755</v>
      </c>
      <c r="B756" s="1">
        <v>16</v>
      </c>
      <c r="C756" s="25">
        <v>1</v>
      </c>
      <c r="D756" s="14">
        <v>1405.59957264957</v>
      </c>
      <c r="E756" s="14">
        <v>832.616239316239</v>
      </c>
      <c r="F756" s="17" t="s">
        <v>256</v>
      </c>
      <c r="G756" s="1" t="s">
        <v>256</v>
      </c>
    </row>
    <row r="757" ht="15.75" spans="1:7">
      <c r="A757" s="12">
        <v>756</v>
      </c>
      <c r="B757" s="1">
        <v>16</v>
      </c>
      <c r="C757" s="25">
        <v>1</v>
      </c>
      <c r="D757" s="14">
        <v>1372.60897435897</v>
      </c>
      <c r="E757" s="14">
        <v>688.657264957265</v>
      </c>
      <c r="F757" s="17" t="s">
        <v>256</v>
      </c>
      <c r="G757" s="1" t="s">
        <v>211</v>
      </c>
    </row>
    <row r="758" ht="15.75" spans="1:7">
      <c r="A758" s="12">
        <v>757</v>
      </c>
      <c r="B758" s="1">
        <v>16</v>
      </c>
      <c r="C758" s="25">
        <v>1</v>
      </c>
      <c r="D758" s="14">
        <v>1192.66025641026</v>
      </c>
      <c r="E758" s="14">
        <v>538.7</v>
      </c>
      <c r="F758" s="17" t="s">
        <v>211</v>
      </c>
      <c r="G758" s="1" t="s">
        <v>212</v>
      </c>
    </row>
    <row r="759" ht="15.75" spans="1:7">
      <c r="A759" s="12">
        <v>758</v>
      </c>
      <c r="B759" s="1">
        <v>16</v>
      </c>
      <c r="C759" s="25">
        <v>2</v>
      </c>
      <c r="D759" s="14">
        <v>1498.57307692308</v>
      </c>
      <c r="E759" s="14">
        <v>331.758974358974</v>
      </c>
      <c r="F759" s="17" t="s">
        <v>212</v>
      </c>
      <c r="G759" s="1" t="s">
        <v>213</v>
      </c>
    </row>
    <row r="760" ht="15.75" spans="1:7">
      <c r="A760" s="12">
        <v>759</v>
      </c>
      <c r="B760" s="1">
        <v>16</v>
      </c>
      <c r="C760" s="25">
        <v>1</v>
      </c>
      <c r="D760" s="14">
        <v>1780.49273504274</v>
      </c>
      <c r="E760" s="14">
        <v>406.737606837607</v>
      </c>
      <c r="F760" s="17" t="s">
        <v>213</v>
      </c>
      <c r="G760" s="1" t="s">
        <v>213</v>
      </c>
    </row>
    <row r="761" ht="15.75" spans="1:7">
      <c r="A761" s="12">
        <v>760</v>
      </c>
      <c r="B761" s="1">
        <v>16</v>
      </c>
      <c r="C761" s="25">
        <v>2</v>
      </c>
      <c r="D761" s="14">
        <v>2143.38931623932</v>
      </c>
      <c r="E761" s="14">
        <v>292.770085470085</v>
      </c>
      <c r="F761" s="17" t="s">
        <v>213</v>
      </c>
      <c r="G761" s="1" t="s">
        <v>136</v>
      </c>
    </row>
    <row r="762" ht="15.75" spans="1:7">
      <c r="A762" s="12">
        <v>761</v>
      </c>
      <c r="B762" s="1">
        <v>16</v>
      </c>
      <c r="C762" s="25">
        <v>1</v>
      </c>
      <c r="D762" s="14">
        <v>2239.36196581197</v>
      </c>
      <c r="E762" s="14">
        <v>550.696581196581</v>
      </c>
      <c r="F762" s="17" t="s">
        <v>136</v>
      </c>
      <c r="G762" s="1" t="s">
        <v>136</v>
      </c>
    </row>
    <row r="763" ht="15.75" spans="1:7">
      <c r="A763" s="12">
        <v>762</v>
      </c>
      <c r="B763" s="1">
        <v>16</v>
      </c>
      <c r="C763" s="25">
        <v>1</v>
      </c>
      <c r="D763" s="14">
        <v>2194.37478632479</v>
      </c>
      <c r="E763" s="14">
        <v>634.672649572649</v>
      </c>
      <c r="F763" s="17" t="s">
        <v>136</v>
      </c>
      <c r="G763" s="1" t="s">
        <v>214</v>
      </c>
    </row>
    <row r="764" ht="15.75" spans="1:7">
      <c r="A764" s="12">
        <v>763</v>
      </c>
      <c r="B764" s="1">
        <v>16</v>
      </c>
      <c r="C764" s="25">
        <v>2</v>
      </c>
      <c r="D764" s="14">
        <v>2170.38162393162</v>
      </c>
      <c r="E764" s="14">
        <v>841.613675213675</v>
      </c>
      <c r="F764" s="17" t="s">
        <v>214</v>
      </c>
      <c r="G764" s="1" t="s">
        <v>215</v>
      </c>
    </row>
    <row r="765" ht="15.75" spans="1:7">
      <c r="A765" s="12">
        <v>764</v>
      </c>
      <c r="B765" s="1">
        <v>16</v>
      </c>
      <c r="C765" s="25">
        <v>1</v>
      </c>
      <c r="D765" s="14">
        <v>2380.3217948718</v>
      </c>
      <c r="E765" s="14">
        <v>949.582905982906</v>
      </c>
      <c r="F765" s="17" t="s">
        <v>215</v>
      </c>
      <c r="G765" s="1" t="s">
        <v>216</v>
      </c>
    </row>
    <row r="766" ht="15.75" spans="1:7">
      <c r="A766" s="12">
        <v>765</v>
      </c>
      <c r="B766" s="1">
        <v>16</v>
      </c>
      <c r="C766" s="25">
        <v>1</v>
      </c>
      <c r="D766" s="14">
        <v>2278.35085470086</v>
      </c>
      <c r="E766" s="14">
        <v>1174.5188034188</v>
      </c>
      <c r="F766" s="17" t="s">
        <v>216</v>
      </c>
      <c r="G766" s="1" t="s">
        <v>217</v>
      </c>
    </row>
    <row r="767" ht="15.75" spans="1:7">
      <c r="A767" s="12">
        <v>766</v>
      </c>
      <c r="B767" s="1">
        <v>16</v>
      </c>
      <c r="C767" s="25">
        <v>1</v>
      </c>
      <c r="D767" s="14">
        <v>2203.37222222222</v>
      </c>
      <c r="E767" s="14">
        <v>1309.48034188034</v>
      </c>
      <c r="F767" s="17" t="s">
        <v>217</v>
      </c>
      <c r="G767" s="1" t="s">
        <v>241</v>
      </c>
    </row>
    <row r="768" ht="15.75" spans="1:7">
      <c r="A768" s="12">
        <v>767</v>
      </c>
      <c r="B768" s="1">
        <v>16</v>
      </c>
      <c r="C768" s="25">
        <v>2</v>
      </c>
      <c r="D768" s="14">
        <v>1993.43205128205</v>
      </c>
      <c r="E768" s="14">
        <v>1309.48034188034</v>
      </c>
      <c r="F768" s="17" t="s">
        <v>241</v>
      </c>
      <c r="G768" s="1" t="s">
        <v>258</v>
      </c>
    </row>
    <row r="769" ht="15.75" spans="1:7">
      <c r="A769" s="12">
        <v>768</v>
      </c>
      <c r="B769" s="1">
        <v>16</v>
      </c>
      <c r="C769" s="25">
        <v>2</v>
      </c>
      <c r="D769" s="14">
        <v>1600.54401709402</v>
      </c>
      <c r="E769" s="14">
        <v>1279.48888888889</v>
      </c>
      <c r="F769" s="17" t="s">
        <v>258</v>
      </c>
      <c r="G769" s="1" t="s">
        <v>218</v>
      </c>
    </row>
    <row r="770" ht="15.75" spans="1:7">
      <c r="A770" s="12">
        <v>769</v>
      </c>
      <c r="B770" s="1">
        <v>16</v>
      </c>
      <c r="C770" s="25">
        <v>1</v>
      </c>
      <c r="D770" s="14">
        <v>1342.61752136752</v>
      </c>
      <c r="E770" s="14">
        <v>1318.47777777778</v>
      </c>
      <c r="F770" s="17" t="s">
        <v>218</v>
      </c>
      <c r="G770" s="1" t="s">
        <v>219</v>
      </c>
    </row>
    <row r="771" ht="15.75" spans="1:7">
      <c r="A771" s="12">
        <v>770</v>
      </c>
      <c r="B771" s="1">
        <v>16</v>
      </c>
      <c r="C771" s="25">
        <v>1</v>
      </c>
      <c r="D771" s="14">
        <v>1279.63547008547</v>
      </c>
      <c r="E771" s="14">
        <v>1144.52735042735</v>
      </c>
      <c r="F771" s="17" t="s">
        <v>219</v>
      </c>
      <c r="G771" s="1" t="s">
        <v>219</v>
      </c>
    </row>
    <row r="772" ht="15.75" spans="1:7">
      <c r="A772" s="12">
        <v>771</v>
      </c>
      <c r="B772" s="1">
        <v>16</v>
      </c>
      <c r="C772" s="25">
        <v>1</v>
      </c>
      <c r="D772" s="14">
        <v>1336.61923076923</v>
      </c>
      <c r="E772" s="14">
        <v>1045.55555555556</v>
      </c>
      <c r="F772" s="17" t="s">
        <v>219</v>
      </c>
      <c r="G772" s="1" t="s">
        <v>220</v>
      </c>
    </row>
    <row r="773" ht="15.75" spans="1:7">
      <c r="A773" s="12">
        <v>772</v>
      </c>
      <c r="B773" s="1">
        <v>16</v>
      </c>
      <c r="C773" s="25">
        <v>1</v>
      </c>
      <c r="D773" s="14">
        <v>1351.61495726496</v>
      </c>
      <c r="E773" s="14">
        <v>955.581196581197</v>
      </c>
      <c r="F773" s="17" t="s">
        <v>220</v>
      </c>
      <c r="G773" s="1" t="s">
        <v>221</v>
      </c>
    </row>
    <row r="774" ht="15.75" spans="1:7">
      <c r="A774" s="12">
        <v>773</v>
      </c>
      <c r="B774" s="1">
        <v>16</v>
      </c>
      <c r="C774" s="25">
        <v>4</v>
      </c>
      <c r="D774" s="14">
        <v>1240.64658119658</v>
      </c>
      <c r="E774" s="14">
        <v>559.694017094017</v>
      </c>
      <c r="F774" s="17" t="s">
        <v>221</v>
      </c>
      <c r="G774" s="1" t="s">
        <v>222</v>
      </c>
    </row>
    <row r="775" ht="15.75" spans="1:7">
      <c r="A775" s="12">
        <v>774</v>
      </c>
      <c r="B775" s="1">
        <v>16</v>
      </c>
      <c r="C775" s="25">
        <v>1</v>
      </c>
      <c r="D775" s="14">
        <v>1249.64401709402</v>
      </c>
      <c r="E775" s="14">
        <v>331.758974358974</v>
      </c>
      <c r="F775" s="17" t="s">
        <v>222</v>
      </c>
      <c r="G775" s="1" t="s">
        <v>223</v>
      </c>
    </row>
    <row r="776" ht="15.75" spans="1:7">
      <c r="A776" s="12">
        <v>775</v>
      </c>
      <c r="B776" s="1">
        <v>16</v>
      </c>
      <c r="C776" s="25">
        <v>1</v>
      </c>
      <c r="D776" s="14">
        <v>1627.53632478633</v>
      </c>
      <c r="E776" s="14">
        <v>418.734188034188</v>
      </c>
      <c r="F776" s="17" t="s">
        <v>223</v>
      </c>
      <c r="G776" s="1" t="s">
        <v>224</v>
      </c>
    </row>
    <row r="777" ht="15.75" spans="1:7">
      <c r="A777" s="12">
        <v>776</v>
      </c>
      <c r="B777" s="1">
        <v>16</v>
      </c>
      <c r="C777" s="26">
        <v>3</v>
      </c>
      <c r="D777" s="14">
        <v>1720.50982905983</v>
      </c>
      <c r="E777" s="14">
        <v>370.747863247863</v>
      </c>
      <c r="F777" s="17" t="s">
        <v>224</v>
      </c>
      <c r="G777" s="1" t="s">
        <v>228</v>
      </c>
    </row>
    <row r="778" ht="15.75" spans="1:7">
      <c r="A778" s="12">
        <v>777</v>
      </c>
      <c r="B778" s="1">
        <v>16</v>
      </c>
      <c r="C778" s="25">
        <v>2</v>
      </c>
      <c r="D778" s="14">
        <v>2116.39700854701</v>
      </c>
      <c r="E778" s="14">
        <v>304.766666666666</v>
      </c>
      <c r="F778" s="17" t="s">
        <v>228</v>
      </c>
      <c r="G778" s="1" t="s">
        <v>138</v>
      </c>
    </row>
    <row r="779" ht="15.75" spans="1:7">
      <c r="A779" s="12">
        <v>778</v>
      </c>
      <c r="B779" s="1">
        <v>16</v>
      </c>
      <c r="C779" s="25">
        <v>1</v>
      </c>
      <c r="D779" s="14">
        <v>2218.36794871795</v>
      </c>
      <c r="E779" s="14">
        <v>430.730769230769</v>
      </c>
      <c r="F779" s="17" t="s">
        <v>138</v>
      </c>
      <c r="G779" s="1" t="s">
        <v>138</v>
      </c>
    </row>
    <row r="780" ht="15.75" spans="1:7">
      <c r="A780" s="12">
        <v>779</v>
      </c>
      <c r="B780" s="1">
        <v>16</v>
      </c>
      <c r="C780" s="25">
        <v>2</v>
      </c>
      <c r="D780" s="14">
        <v>2254.35769230769</v>
      </c>
      <c r="E780" s="14">
        <v>526.703418803419</v>
      </c>
      <c r="F780" s="17" t="s">
        <v>138</v>
      </c>
      <c r="G780" s="1" t="s">
        <v>229</v>
      </c>
    </row>
    <row r="781" ht="15.75" spans="1:7">
      <c r="A781" s="12">
        <v>780</v>
      </c>
      <c r="B781" s="1">
        <v>16</v>
      </c>
      <c r="C781" s="25">
        <v>2</v>
      </c>
      <c r="D781" s="14">
        <v>2140.39017094017</v>
      </c>
      <c r="E781" s="14">
        <v>757.637606837607</v>
      </c>
      <c r="F781" s="17" t="s">
        <v>229</v>
      </c>
      <c r="G781" s="29">
        <v>11.5</v>
      </c>
    </row>
    <row r="782" ht="15.75" spans="1:7">
      <c r="A782" s="12">
        <v>781</v>
      </c>
      <c r="B782" s="1">
        <v>16</v>
      </c>
      <c r="C782" s="25">
        <v>2</v>
      </c>
      <c r="D782" s="14">
        <v>2032.42094017094</v>
      </c>
      <c r="E782" s="14">
        <v>1282.48803418803</v>
      </c>
      <c r="F782" s="17" t="s">
        <v>139</v>
      </c>
      <c r="G782" s="17" t="s">
        <v>139</v>
      </c>
    </row>
    <row r="783" ht="15.75" spans="1:7">
      <c r="A783" s="12">
        <v>782</v>
      </c>
      <c r="B783" s="1">
        <v>17</v>
      </c>
      <c r="C783" s="25">
        <v>1</v>
      </c>
      <c r="D783" s="3">
        <v>1759.49871794872</v>
      </c>
      <c r="E783" s="3">
        <v>2221.22051282051</v>
      </c>
      <c r="F783" s="15" t="s">
        <v>69</v>
      </c>
      <c r="G783" s="30" t="s">
        <v>186</v>
      </c>
    </row>
    <row r="784" ht="15.75" spans="1:7">
      <c r="A784" s="12">
        <v>783</v>
      </c>
      <c r="B784" s="1">
        <v>17</v>
      </c>
      <c r="C784" s="25">
        <v>4</v>
      </c>
      <c r="D784" s="3">
        <v>1786.49102564103</v>
      </c>
      <c r="E784" s="3">
        <v>2083.25982905983</v>
      </c>
      <c r="F784" s="15" t="s">
        <v>186</v>
      </c>
      <c r="G784" s="30" t="s">
        <v>70</v>
      </c>
    </row>
    <row r="785" ht="15.75" spans="1:7">
      <c r="A785" s="12">
        <v>784</v>
      </c>
      <c r="B785" s="1">
        <v>17</v>
      </c>
      <c r="C785" s="25">
        <v>2</v>
      </c>
      <c r="D785" s="3">
        <v>1867.46794871795</v>
      </c>
      <c r="E785" s="3">
        <v>1852.32564102564</v>
      </c>
      <c r="F785" s="15" t="s">
        <v>70</v>
      </c>
      <c r="G785" s="30" t="s">
        <v>70</v>
      </c>
    </row>
    <row r="786" ht="15.75" spans="1:7">
      <c r="A786" s="12">
        <v>785</v>
      </c>
      <c r="B786" s="1">
        <v>17</v>
      </c>
      <c r="C786" s="25">
        <v>1</v>
      </c>
      <c r="D786" s="3">
        <v>1855.47136752137</v>
      </c>
      <c r="E786" s="3">
        <v>1759.35213675214</v>
      </c>
      <c r="F786" s="15" t="s">
        <v>70</v>
      </c>
      <c r="G786" s="30" t="s">
        <v>70</v>
      </c>
    </row>
    <row r="787" ht="15.75" spans="1:7">
      <c r="A787" s="12">
        <v>786</v>
      </c>
      <c r="B787" s="1">
        <v>17</v>
      </c>
      <c r="C787" s="25">
        <v>1</v>
      </c>
      <c r="D787" s="3">
        <v>1714.51153846154</v>
      </c>
      <c r="E787" s="3">
        <v>1543.41367521368</v>
      </c>
      <c r="F787" s="15" t="s">
        <v>70</v>
      </c>
      <c r="G787" s="30" t="s">
        <v>70</v>
      </c>
    </row>
    <row r="788" ht="15.75" spans="1:7">
      <c r="A788" s="12">
        <v>787</v>
      </c>
      <c r="B788" s="1">
        <v>17</v>
      </c>
      <c r="C788" s="25">
        <v>2</v>
      </c>
      <c r="D788" s="3">
        <v>1732.50641025641</v>
      </c>
      <c r="E788" s="3">
        <v>1318.47777777778</v>
      </c>
      <c r="F788" s="15" t="s">
        <v>70</v>
      </c>
      <c r="G788" s="30" t="s">
        <v>141</v>
      </c>
    </row>
    <row r="789" ht="15.75" spans="1:7">
      <c r="A789" s="12">
        <v>788</v>
      </c>
      <c r="B789" s="1">
        <v>17</v>
      </c>
      <c r="C789" s="25">
        <v>1</v>
      </c>
      <c r="D789" s="3">
        <v>1378.60726495727</v>
      </c>
      <c r="E789" s="3">
        <v>1276.48974358974</v>
      </c>
      <c r="F789" s="15" t="s">
        <v>141</v>
      </c>
      <c r="G789" s="30" t="s">
        <v>73</v>
      </c>
    </row>
    <row r="790" ht="15.75" spans="1:7">
      <c r="A790" s="12">
        <v>789</v>
      </c>
      <c r="B790" s="1">
        <v>17</v>
      </c>
      <c r="C790" s="25">
        <v>1</v>
      </c>
      <c r="D790" s="3">
        <v>1297.63034188034</v>
      </c>
      <c r="E790" s="3">
        <v>1225.50427350427</v>
      </c>
      <c r="F790" s="15" t="s">
        <v>73</v>
      </c>
      <c r="G790" s="30" t="s">
        <v>74</v>
      </c>
    </row>
    <row r="791" ht="15.75" spans="1:7">
      <c r="A791" s="12">
        <v>790</v>
      </c>
      <c r="B791" s="1">
        <v>17</v>
      </c>
      <c r="C791" s="25">
        <v>2</v>
      </c>
      <c r="D791" s="3">
        <v>1195.6594017094</v>
      </c>
      <c r="E791" s="3">
        <v>1249.49743589744</v>
      </c>
      <c r="F791" s="15" t="s">
        <v>74</v>
      </c>
      <c r="G791" s="30" t="s">
        <v>75</v>
      </c>
    </row>
    <row r="792" ht="15.75" spans="1:7">
      <c r="A792" s="12">
        <v>791</v>
      </c>
      <c r="B792" s="1">
        <v>17</v>
      </c>
      <c r="C792" s="25">
        <v>1</v>
      </c>
      <c r="D792" s="3">
        <v>1384.60555555556</v>
      </c>
      <c r="E792" s="3">
        <v>1123.53333333333</v>
      </c>
      <c r="F792" s="15" t="s">
        <v>75</v>
      </c>
      <c r="G792" s="30" t="s">
        <v>76</v>
      </c>
    </row>
    <row r="793" ht="15.75" spans="1:7">
      <c r="A793" s="12">
        <v>792</v>
      </c>
      <c r="B793" s="1">
        <v>17</v>
      </c>
      <c r="C793" s="25">
        <v>4</v>
      </c>
      <c r="D793" s="3">
        <v>1156.67051282051</v>
      </c>
      <c r="E793" s="3">
        <v>925.589743589744</v>
      </c>
      <c r="F793" s="15" t="s">
        <v>76</v>
      </c>
      <c r="G793" s="30" t="s">
        <v>78</v>
      </c>
    </row>
    <row r="794" ht="15.75" spans="1:7">
      <c r="A794" s="12">
        <v>793</v>
      </c>
      <c r="B794" s="1">
        <v>17</v>
      </c>
      <c r="C794" s="25">
        <v>1</v>
      </c>
      <c r="D794" s="3">
        <v>1348.61581196581</v>
      </c>
      <c r="E794" s="3">
        <v>772.633333333333</v>
      </c>
      <c r="F794" s="15" t="s">
        <v>78</v>
      </c>
      <c r="G794" s="30" t="s">
        <v>78</v>
      </c>
    </row>
    <row r="795" ht="15.75" spans="1:7">
      <c r="A795" s="12">
        <v>794</v>
      </c>
      <c r="B795" s="1">
        <v>17</v>
      </c>
      <c r="C795" s="25">
        <v>1</v>
      </c>
      <c r="D795" s="3">
        <v>1378.60726495727</v>
      </c>
      <c r="E795" s="3">
        <v>631.673504273504</v>
      </c>
      <c r="F795" s="15" t="s">
        <v>78</v>
      </c>
      <c r="G795" s="30" t="s">
        <v>79</v>
      </c>
    </row>
    <row r="796" ht="15.75" spans="1:7">
      <c r="A796" s="12">
        <v>795</v>
      </c>
      <c r="B796" s="1">
        <v>17</v>
      </c>
      <c r="C796" s="26">
        <v>3</v>
      </c>
      <c r="D796" s="3">
        <v>1180.66367521368</v>
      </c>
      <c r="E796" s="3">
        <v>397.740170940171</v>
      </c>
      <c r="F796" s="15" t="s">
        <v>79</v>
      </c>
      <c r="G796" s="15" t="s">
        <v>81</v>
      </c>
    </row>
    <row r="797" ht="15.75" spans="1:7">
      <c r="A797" s="12">
        <v>796</v>
      </c>
      <c r="B797" s="1">
        <v>17</v>
      </c>
      <c r="C797" s="25">
        <v>2</v>
      </c>
      <c r="D797" s="3">
        <v>1405.59957264957</v>
      </c>
      <c r="E797" s="3">
        <v>412.735897435897</v>
      </c>
      <c r="F797" s="15" t="s">
        <v>81</v>
      </c>
      <c r="G797" s="15" t="s">
        <v>81</v>
      </c>
    </row>
    <row r="798" ht="15.75" spans="1:7">
      <c r="A798" s="12">
        <v>797</v>
      </c>
      <c r="B798" s="1">
        <v>17</v>
      </c>
      <c r="C798" s="25">
        <v>1</v>
      </c>
      <c r="D798" s="3">
        <v>1336.61923076923</v>
      </c>
      <c r="E798" s="3">
        <v>337.757264957265</v>
      </c>
      <c r="F798" s="15" t="s">
        <v>81</v>
      </c>
      <c r="G798" s="30" t="s">
        <v>82</v>
      </c>
    </row>
    <row r="799" ht="15.75" spans="1:7">
      <c r="A799" s="12">
        <v>798</v>
      </c>
      <c r="B799" s="1">
        <v>17</v>
      </c>
      <c r="C799" s="25">
        <v>2</v>
      </c>
      <c r="D799" s="3">
        <v>2164.38333333333</v>
      </c>
      <c r="E799" s="3">
        <v>379.745299145299</v>
      </c>
      <c r="F799" s="15" t="s">
        <v>82</v>
      </c>
      <c r="G799" s="30" t="s">
        <v>83</v>
      </c>
    </row>
    <row r="800" ht="15.75" spans="1:7">
      <c r="A800" s="12">
        <v>799</v>
      </c>
      <c r="B800" s="1">
        <v>17</v>
      </c>
      <c r="C800" s="25">
        <v>1</v>
      </c>
      <c r="D800" s="3">
        <v>2125.39444444445</v>
      </c>
      <c r="E800" s="3">
        <v>472.718803418803</v>
      </c>
      <c r="F800" s="15" t="s">
        <v>83</v>
      </c>
      <c r="G800" s="30" t="s">
        <v>84</v>
      </c>
    </row>
    <row r="801" ht="15.75" spans="1:7">
      <c r="A801" s="12">
        <v>800</v>
      </c>
      <c r="B801" s="1">
        <v>17</v>
      </c>
      <c r="C801" s="25">
        <v>2</v>
      </c>
      <c r="D801" s="3">
        <v>2191.37564102564</v>
      </c>
      <c r="E801" s="3">
        <v>961.579487179487</v>
      </c>
      <c r="F801" s="15" t="s">
        <v>84</v>
      </c>
      <c r="G801" s="30" t="s">
        <v>85</v>
      </c>
    </row>
    <row r="802" ht="15.75" spans="1:7">
      <c r="A802" s="12">
        <v>801</v>
      </c>
      <c r="B802" s="1">
        <v>17</v>
      </c>
      <c r="C802" s="25">
        <v>1</v>
      </c>
      <c r="D802" s="3">
        <v>2224.36623931624</v>
      </c>
      <c r="E802" s="3">
        <v>1024.56153846154</v>
      </c>
      <c r="F802" s="15" t="s">
        <v>85</v>
      </c>
      <c r="G802" s="30" t="s">
        <v>86</v>
      </c>
    </row>
    <row r="803" ht="15.75" spans="1:7">
      <c r="A803" s="12">
        <v>802</v>
      </c>
      <c r="B803" s="1">
        <v>17</v>
      </c>
      <c r="C803" s="26">
        <v>3</v>
      </c>
      <c r="D803" s="3">
        <v>2224.36623931624</v>
      </c>
      <c r="E803" s="3">
        <v>1243.49914529915</v>
      </c>
      <c r="F803" s="15" t="s">
        <v>86</v>
      </c>
      <c r="G803" s="30" t="s">
        <v>142</v>
      </c>
    </row>
    <row r="804" ht="15.75" spans="1:7">
      <c r="A804" s="12">
        <v>803</v>
      </c>
      <c r="B804" s="1">
        <v>17</v>
      </c>
      <c r="C804" s="26">
        <v>3</v>
      </c>
      <c r="D804" s="3">
        <v>1927.45085470086</v>
      </c>
      <c r="E804" s="3">
        <v>1330.47435897436</v>
      </c>
      <c r="F804" s="15" t="s">
        <v>142</v>
      </c>
      <c r="G804" s="15" t="s">
        <v>87</v>
      </c>
    </row>
    <row r="805" ht="15.75" spans="1:7">
      <c r="A805" s="12">
        <v>804</v>
      </c>
      <c r="B805" s="1">
        <v>17</v>
      </c>
      <c r="C805" s="25">
        <v>1</v>
      </c>
      <c r="D805" s="3">
        <v>1768.49615384615</v>
      </c>
      <c r="E805" s="3">
        <v>1006.56666666667</v>
      </c>
      <c r="F805" s="15" t="s">
        <v>88</v>
      </c>
      <c r="G805" s="30" t="s">
        <v>90</v>
      </c>
    </row>
    <row r="806" ht="15.75" spans="1:7">
      <c r="A806" s="12">
        <v>805</v>
      </c>
      <c r="B806" s="1">
        <v>17</v>
      </c>
      <c r="C806" s="25">
        <v>1</v>
      </c>
      <c r="D806" s="3">
        <v>1273.63717948718</v>
      </c>
      <c r="E806" s="3">
        <v>1009.56581196581</v>
      </c>
      <c r="F806" s="15" t="s">
        <v>90</v>
      </c>
      <c r="G806" s="30" t="s">
        <v>91</v>
      </c>
    </row>
    <row r="807" ht="15.75" spans="1:7">
      <c r="A807" s="12">
        <v>806</v>
      </c>
      <c r="B807" s="1">
        <v>17</v>
      </c>
      <c r="C807" s="25">
        <v>2</v>
      </c>
      <c r="D807" s="3">
        <v>1363.61153846154</v>
      </c>
      <c r="E807" s="3">
        <v>832.616239316239</v>
      </c>
      <c r="F807" s="15" t="s">
        <v>91</v>
      </c>
      <c r="G807" s="30" t="s">
        <v>91</v>
      </c>
    </row>
    <row r="808" ht="15.75" spans="1:7">
      <c r="A808" s="12">
        <v>807</v>
      </c>
      <c r="B808" s="1">
        <v>17</v>
      </c>
      <c r="C808" s="25">
        <v>1</v>
      </c>
      <c r="D808" s="3">
        <v>1345.61666666667</v>
      </c>
      <c r="E808" s="3">
        <v>637.671794871795</v>
      </c>
      <c r="F808" s="15" t="s">
        <v>91</v>
      </c>
      <c r="G808" s="30" t="s">
        <v>259</v>
      </c>
    </row>
    <row r="809" ht="15.75" spans="1:7">
      <c r="A809" s="12">
        <v>808</v>
      </c>
      <c r="B809" s="1">
        <v>17</v>
      </c>
      <c r="C809" s="25">
        <v>1</v>
      </c>
      <c r="D809" s="3">
        <v>1258.64145299145</v>
      </c>
      <c r="E809" s="3">
        <v>625.675213675213</v>
      </c>
      <c r="F809" s="15" t="s">
        <v>259</v>
      </c>
      <c r="G809" s="30" t="s">
        <v>93</v>
      </c>
    </row>
    <row r="810" ht="15.75" spans="1:7">
      <c r="A810" s="12">
        <v>809</v>
      </c>
      <c r="B810" s="1">
        <v>17</v>
      </c>
      <c r="C810" s="25">
        <v>1</v>
      </c>
      <c r="D810" s="3">
        <v>1363.61153846154</v>
      </c>
      <c r="E810" s="3">
        <v>430.730769230769</v>
      </c>
      <c r="F810" s="15" t="s">
        <v>93</v>
      </c>
      <c r="G810" s="30" t="s">
        <v>95</v>
      </c>
    </row>
    <row r="811" ht="15.75" spans="1:7">
      <c r="A811" s="12">
        <v>810</v>
      </c>
      <c r="B811" s="1">
        <v>17</v>
      </c>
      <c r="C811" s="25">
        <v>1</v>
      </c>
      <c r="D811" s="3">
        <v>1408.59871794872</v>
      </c>
      <c r="E811" s="3">
        <v>358.751282051282</v>
      </c>
      <c r="F811" s="15" t="s">
        <v>95</v>
      </c>
      <c r="G811" s="30" t="s">
        <v>96</v>
      </c>
    </row>
    <row r="812" ht="15.75" spans="1:7">
      <c r="A812" s="12">
        <v>811</v>
      </c>
      <c r="B812" s="1">
        <v>17</v>
      </c>
      <c r="C812" s="26">
        <v>3</v>
      </c>
      <c r="D812" s="3">
        <v>1765.49700854701</v>
      </c>
      <c r="E812" s="3">
        <v>343.755555555556</v>
      </c>
      <c r="F812" s="15" t="s">
        <v>96</v>
      </c>
      <c r="G812" s="30" t="s">
        <v>104</v>
      </c>
    </row>
    <row r="813" ht="15.75" spans="1:7">
      <c r="A813" s="12">
        <v>812</v>
      </c>
      <c r="B813" s="1">
        <v>17</v>
      </c>
      <c r="C813" s="25">
        <v>1</v>
      </c>
      <c r="D813" s="3">
        <v>1963.4405982906</v>
      </c>
      <c r="E813" s="3">
        <v>298.768376068376</v>
      </c>
      <c r="F813" s="15" t="s">
        <v>104</v>
      </c>
      <c r="G813" s="30" t="s">
        <v>105</v>
      </c>
    </row>
    <row r="814" ht="15.75" spans="1:7">
      <c r="A814" s="12">
        <v>813</v>
      </c>
      <c r="B814" s="1">
        <v>17</v>
      </c>
      <c r="C814" s="25">
        <v>1</v>
      </c>
      <c r="D814" s="3">
        <v>2278.35085470086</v>
      </c>
      <c r="E814" s="3">
        <v>340.75641025641</v>
      </c>
      <c r="F814" s="15" t="s">
        <v>105</v>
      </c>
      <c r="G814" s="30" t="s">
        <v>109</v>
      </c>
    </row>
    <row r="815" ht="15.75" spans="1:7">
      <c r="A815" s="12">
        <v>814</v>
      </c>
      <c r="B815" s="1">
        <v>17</v>
      </c>
      <c r="C815" s="25">
        <v>1</v>
      </c>
      <c r="D815" s="3">
        <v>2185.37735042735</v>
      </c>
      <c r="E815" s="3">
        <v>1264.49316239316</v>
      </c>
      <c r="F815" s="15" t="s">
        <v>109</v>
      </c>
      <c r="G815" s="30" t="s">
        <v>187</v>
      </c>
    </row>
    <row r="816" ht="15.75" spans="1:7">
      <c r="A816" s="12">
        <v>815</v>
      </c>
      <c r="B816" s="1">
        <v>17</v>
      </c>
      <c r="C816" s="25">
        <v>1</v>
      </c>
      <c r="D816" s="3">
        <v>2290.34743589744</v>
      </c>
      <c r="E816" s="3">
        <v>1303.48205128205</v>
      </c>
      <c r="F816" s="15" t="s">
        <v>187</v>
      </c>
      <c r="G816" s="30" t="s">
        <v>107</v>
      </c>
    </row>
    <row r="817" ht="15.75" spans="1:7">
      <c r="A817" s="12">
        <v>816</v>
      </c>
      <c r="B817" s="1">
        <v>17</v>
      </c>
      <c r="C817" s="26">
        <v>3</v>
      </c>
      <c r="D817" s="3">
        <v>1897.4594017094</v>
      </c>
      <c r="E817" s="3">
        <v>1378.46068376068</v>
      </c>
      <c r="F817" s="15" t="s">
        <v>107</v>
      </c>
      <c r="G817" s="15" t="s">
        <v>115</v>
      </c>
    </row>
    <row r="818" ht="15.75" spans="1:7">
      <c r="A818" s="12">
        <v>817</v>
      </c>
      <c r="B818" s="1">
        <v>18</v>
      </c>
      <c r="C818" s="25">
        <v>4</v>
      </c>
      <c r="D818" s="3">
        <v>1786.49102564103</v>
      </c>
      <c r="E818" s="3">
        <v>2230.21794871795</v>
      </c>
      <c r="F818" s="15" t="s">
        <v>122</v>
      </c>
      <c r="G818" s="30" t="s">
        <v>143</v>
      </c>
    </row>
    <row r="819" ht="15.75" spans="1:7">
      <c r="A819" s="12">
        <v>818</v>
      </c>
      <c r="B819" s="1">
        <v>18</v>
      </c>
      <c r="C819" s="25">
        <v>1</v>
      </c>
      <c r="D819" s="3">
        <v>1876.46538461538</v>
      </c>
      <c r="E819" s="3">
        <v>1831.33162393162</v>
      </c>
      <c r="F819" s="15" t="s">
        <v>143</v>
      </c>
      <c r="G819" s="30" t="s">
        <v>193</v>
      </c>
    </row>
    <row r="820" ht="15.75" spans="1:7">
      <c r="A820" s="12">
        <v>819</v>
      </c>
      <c r="B820" s="1">
        <v>18</v>
      </c>
      <c r="C820" s="26">
        <v>3</v>
      </c>
      <c r="D820" s="3">
        <v>1654.52863247863</v>
      </c>
      <c r="E820" s="3">
        <v>1318.47777777778</v>
      </c>
      <c r="F820" s="15" t="s">
        <v>193</v>
      </c>
      <c r="G820" s="30" t="s">
        <v>124</v>
      </c>
    </row>
    <row r="821" ht="15.75" spans="1:7">
      <c r="A821" s="12">
        <v>820</v>
      </c>
      <c r="B821" s="1">
        <v>18</v>
      </c>
      <c r="C821" s="25">
        <v>2</v>
      </c>
      <c r="D821" s="3">
        <v>1285.63376068376</v>
      </c>
      <c r="E821" s="3">
        <v>1309.48034188034</v>
      </c>
      <c r="F821" s="15" t="s">
        <v>124</v>
      </c>
      <c r="G821" s="30" t="s">
        <v>125</v>
      </c>
    </row>
    <row r="822" ht="15.75" spans="1:7">
      <c r="A822" s="12">
        <v>821</v>
      </c>
      <c r="B822" s="1">
        <v>18</v>
      </c>
      <c r="C822" s="25">
        <v>1</v>
      </c>
      <c r="D822" s="3">
        <v>1216.65341880342</v>
      </c>
      <c r="E822" s="3">
        <v>1225.50427350427</v>
      </c>
      <c r="F822" s="15" t="s">
        <v>125</v>
      </c>
      <c r="G822" s="30" t="s">
        <v>125</v>
      </c>
    </row>
    <row r="823" ht="15.75" spans="1:7">
      <c r="A823" s="12">
        <v>822</v>
      </c>
      <c r="B823" s="1">
        <v>18</v>
      </c>
      <c r="C823" s="25">
        <v>1</v>
      </c>
      <c r="D823" s="3">
        <v>1381.60641025641</v>
      </c>
      <c r="E823" s="3">
        <v>1093.54188034188</v>
      </c>
      <c r="F823" s="19" t="s">
        <v>125</v>
      </c>
      <c r="G823" s="30" t="s">
        <v>125</v>
      </c>
    </row>
    <row r="824" ht="15.75" spans="1:7">
      <c r="A824" s="12">
        <v>823</v>
      </c>
      <c r="B824" s="1">
        <v>18</v>
      </c>
      <c r="C824" s="25">
        <v>1</v>
      </c>
      <c r="D824" s="3">
        <v>1258.64145299145</v>
      </c>
      <c r="E824" s="3">
        <v>1018.56324786325</v>
      </c>
      <c r="F824" s="15" t="s">
        <v>125</v>
      </c>
      <c r="G824" s="30" t="s">
        <v>126</v>
      </c>
    </row>
    <row r="825" ht="15.75" spans="1:7">
      <c r="A825" s="12">
        <v>824</v>
      </c>
      <c r="B825" s="1">
        <v>18</v>
      </c>
      <c r="C825" s="25">
        <v>4</v>
      </c>
      <c r="D825" s="3">
        <v>1159.66965811966</v>
      </c>
      <c r="E825" s="3">
        <v>937.586324786325</v>
      </c>
      <c r="F825" s="15" t="s">
        <v>126</v>
      </c>
      <c r="G825" s="30" t="s">
        <v>127</v>
      </c>
    </row>
    <row r="826" ht="15.75" spans="1:7">
      <c r="A826" s="12">
        <v>825</v>
      </c>
      <c r="B826" s="1">
        <v>18</v>
      </c>
      <c r="C826" s="25">
        <v>1</v>
      </c>
      <c r="D826" s="3">
        <v>1354.6141025641</v>
      </c>
      <c r="E826" s="3">
        <v>661.664957264957</v>
      </c>
      <c r="F826" s="15" t="s">
        <v>127</v>
      </c>
      <c r="G826" s="30" t="s">
        <v>128</v>
      </c>
    </row>
    <row r="827" ht="15.75" spans="1:7">
      <c r="A827" s="12">
        <v>826</v>
      </c>
      <c r="B827" s="1">
        <v>18</v>
      </c>
      <c r="C827" s="25">
        <v>1</v>
      </c>
      <c r="D827" s="3">
        <v>1267.63888888889</v>
      </c>
      <c r="E827" s="3">
        <v>529.702564102564</v>
      </c>
      <c r="F827" s="15" t="s">
        <v>128</v>
      </c>
      <c r="G827" s="30" t="s">
        <v>129</v>
      </c>
    </row>
    <row r="828" ht="15.75" spans="1:7">
      <c r="A828" s="12">
        <v>827</v>
      </c>
      <c r="B828" s="1">
        <v>18</v>
      </c>
      <c r="C828" s="25">
        <v>2</v>
      </c>
      <c r="D828" s="3">
        <v>1381.60641025641</v>
      </c>
      <c r="E828" s="3">
        <v>457.723076923077</v>
      </c>
      <c r="F828" s="15" t="s">
        <v>129</v>
      </c>
      <c r="G828" s="30" t="s">
        <v>130</v>
      </c>
    </row>
    <row r="829" ht="15.75" spans="1:7">
      <c r="A829" s="12">
        <v>828</v>
      </c>
      <c r="B829" s="1">
        <v>18</v>
      </c>
      <c r="C829" s="25">
        <v>1</v>
      </c>
      <c r="D829" s="3">
        <v>2164.38333333333</v>
      </c>
      <c r="E829" s="3">
        <v>514.706837606837</v>
      </c>
      <c r="F829" s="15" t="s">
        <v>130</v>
      </c>
      <c r="G829" s="30" t="s">
        <v>132</v>
      </c>
    </row>
    <row r="830" ht="15.75" spans="1:7">
      <c r="A830" s="12">
        <v>829</v>
      </c>
      <c r="B830" s="1">
        <v>18</v>
      </c>
      <c r="C830" s="25">
        <v>1</v>
      </c>
      <c r="D830" s="3">
        <v>2188.3764957265</v>
      </c>
      <c r="E830" s="3">
        <v>721.647863247863</v>
      </c>
      <c r="F830" s="15" t="s">
        <v>132</v>
      </c>
      <c r="G830" s="30" t="s">
        <v>232</v>
      </c>
    </row>
    <row r="831" ht="15.75" spans="1:7">
      <c r="A831" s="12">
        <v>830</v>
      </c>
      <c r="B831" s="1">
        <v>18</v>
      </c>
      <c r="C831" s="25">
        <v>1</v>
      </c>
      <c r="D831" s="3">
        <v>2272.35256410256</v>
      </c>
      <c r="E831" s="3">
        <v>1162.52222222222</v>
      </c>
      <c r="F831" s="15" t="s">
        <v>232</v>
      </c>
      <c r="G831" s="30" t="s">
        <v>260</v>
      </c>
    </row>
    <row r="832" ht="15.75" spans="1:7">
      <c r="A832" s="12">
        <v>831</v>
      </c>
      <c r="B832" s="1">
        <v>18</v>
      </c>
      <c r="C832" s="26">
        <v>3</v>
      </c>
      <c r="D832" s="3">
        <v>1921.45256410256</v>
      </c>
      <c r="E832" s="3">
        <v>1339.4717948718</v>
      </c>
      <c r="F832" s="15" t="s">
        <v>260</v>
      </c>
      <c r="G832" s="30" t="s">
        <v>238</v>
      </c>
    </row>
    <row r="833" ht="15.75" spans="1:7">
      <c r="A833" s="12">
        <v>832</v>
      </c>
      <c r="B833" s="1">
        <v>18</v>
      </c>
      <c r="C833" s="25">
        <v>1</v>
      </c>
      <c r="D833" s="3">
        <v>1741.50384615385</v>
      </c>
      <c r="E833" s="3">
        <v>1540.41452991453</v>
      </c>
      <c r="F833" s="15" t="s">
        <v>238</v>
      </c>
      <c r="G833" s="30" t="s">
        <v>261</v>
      </c>
    </row>
    <row r="834" ht="15.75" spans="1:7">
      <c r="A834" s="12">
        <v>833</v>
      </c>
      <c r="B834" s="1">
        <v>18</v>
      </c>
      <c r="C834" s="25">
        <v>4</v>
      </c>
      <c r="D834" s="3">
        <v>1729.50726495727</v>
      </c>
      <c r="E834" s="3">
        <v>2041.2717948718</v>
      </c>
      <c r="F834" s="15" t="s">
        <v>261</v>
      </c>
      <c r="G834" s="15" t="s">
        <v>133</v>
      </c>
    </row>
    <row r="835" ht="15.75" spans="1:7">
      <c r="A835" s="12">
        <v>834</v>
      </c>
      <c r="B835" s="1">
        <v>19</v>
      </c>
      <c r="C835" s="25">
        <v>1</v>
      </c>
      <c r="D835" s="3">
        <v>1747.50213675214</v>
      </c>
      <c r="E835" s="3">
        <v>2047.27008547009</v>
      </c>
      <c r="F835" s="15" t="s">
        <v>216</v>
      </c>
      <c r="G835" s="30" t="s">
        <v>216</v>
      </c>
    </row>
    <row r="836" ht="15.75" spans="1:7">
      <c r="A836" s="12">
        <v>835</v>
      </c>
      <c r="B836" s="1">
        <v>19</v>
      </c>
      <c r="C836" s="25">
        <v>2</v>
      </c>
      <c r="D836" s="3">
        <v>1645.5311965812</v>
      </c>
      <c r="E836" s="3">
        <v>1798.34102564103</v>
      </c>
      <c r="F836" s="15" t="s">
        <v>216</v>
      </c>
      <c r="G836" s="30" t="s">
        <v>216</v>
      </c>
    </row>
    <row r="837" ht="15.75" spans="1:7">
      <c r="A837" s="12">
        <v>836</v>
      </c>
      <c r="B837" s="1">
        <v>19</v>
      </c>
      <c r="C837" s="25">
        <v>1</v>
      </c>
      <c r="D837" s="3">
        <v>1867.46794871795</v>
      </c>
      <c r="E837" s="3">
        <v>1720.36324786325</v>
      </c>
      <c r="F837" s="15" t="s">
        <v>216</v>
      </c>
      <c r="G837" s="30" t="s">
        <v>241</v>
      </c>
    </row>
    <row r="838" ht="15.75" spans="1:7">
      <c r="A838" s="12">
        <v>837</v>
      </c>
      <c r="B838" s="1">
        <v>19</v>
      </c>
      <c r="C838" s="25">
        <v>1</v>
      </c>
      <c r="D838" s="3">
        <v>1849.47307692308</v>
      </c>
      <c r="E838" s="3">
        <v>1852.32564102564</v>
      </c>
      <c r="F838" s="15" t="s">
        <v>241</v>
      </c>
      <c r="G838" s="30" t="s">
        <v>258</v>
      </c>
    </row>
    <row r="839" ht="15.75" spans="1:7">
      <c r="A839" s="12">
        <v>838</v>
      </c>
      <c r="B839" s="1">
        <v>19</v>
      </c>
      <c r="C839" s="25">
        <v>1</v>
      </c>
      <c r="D839" s="3">
        <v>1801.48675213675</v>
      </c>
      <c r="E839" s="3">
        <v>1543.41367521368</v>
      </c>
      <c r="F839" s="15" t="s">
        <v>258</v>
      </c>
      <c r="G839" s="30" t="s">
        <v>219</v>
      </c>
    </row>
    <row r="840" ht="15.75" spans="1:7">
      <c r="A840" s="12">
        <v>839</v>
      </c>
      <c r="B840" s="1">
        <v>19</v>
      </c>
      <c r="C840" s="25">
        <v>1</v>
      </c>
      <c r="D840" s="3">
        <v>1933.44914529915</v>
      </c>
      <c r="E840" s="3">
        <v>1216.50683760684</v>
      </c>
      <c r="F840" s="15" t="s">
        <v>219</v>
      </c>
      <c r="G840" s="30" t="s">
        <v>221</v>
      </c>
    </row>
    <row r="841" ht="15.75" spans="1:7">
      <c r="A841" s="12">
        <v>840</v>
      </c>
      <c r="B841" s="1">
        <v>19</v>
      </c>
      <c r="C841" s="25">
        <v>1</v>
      </c>
      <c r="D841" s="3">
        <v>1303.62863247863</v>
      </c>
      <c r="E841" s="3">
        <v>1216.50683760684</v>
      </c>
      <c r="F841" s="15" t="s">
        <v>221</v>
      </c>
      <c r="G841" s="30" t="s">
        <v>225</v>
      </c>
    </row>
    <row r="842" ht="15.75" spans="1:7">
      <c r="A842" s="12">
        <v>841</v>
      </c>
      <c r="B842" s="1">
        <v>19</v>
      </c>
      <c r="C842" s="25">
        <v>2</v>
      </c>
      <c r="D842" s="3">
        <v>1711.51239316239</v>
      </c>
      <c r="E842" s="3">
        <v>1300.48290598291</v>
      </c>
      <c r="F842" s="15" t="s">
        <v>225</v>
      </c>
      <c r="G842" s="30" t="s">
        <v>226</v>
      </c>
    </row>
    <row r="843" ht="15.75" spans="1:7">
      <c r="A843" s="12">
        <v>842</v>
      </c>
      <c r="B843" s="1">
        <v>19</v>
      </c>
      <c r="C843" s="25">
        <v>1</v>
      </c>
      <c r="D843" s="3">
        <v>2341.33290598291</v>
      </c>
      <c r="E843" s="3">
        <v>1195.51282051282</v>
      </c>
      <c r="F843" s="15" t="s">
        <v>226</v>
      </c>
      <c r="G843" s="30" t="s">
        <v>227</v>
      </c>
    </row>
    <row r="844" ht="15.75" spans="1:7">
      <c r="A844" s="12">
        <v>843</v>
      </c>
      <c r="B844" s="1">
        <v>19</v>
      </c>
      <c r="C844" s="25">
        <v>2</v>
      </c>
      <c r="D844" s="3">
        <v>2206.37136752137</v>
      </c>
      <c r="E844" s="3">
        <v>1153.52478632479</v>
      </c>
      <c r="F844" s="15" t="s">
        <v>227</v>
      </c>
      <c r="G844" s="30" t="s">
        <v>229</v>
      </c>
    </row>
    <row r="845" ht="15.75" spans="1:7">
      <c r="A845" s="12">
        <v>844</v>
      </c>
      <c r="B845" s="1">
        <v>19</v>
      </c>
      <c r="C845" s="25">
        <v>1</v>
      </c>
      <c r="D845" s="3">
        <v>2263.35512820513</v>
      </c>
      <c r="E845" s="3">
        <v>1054.55299145299</v>
      </c>
      <c r="F845" s="15" t="s">
        <v>229</v>
      </c>
      <c r="G845" s="30" t="s">
        <v>262</v>
      </c>
    </row>
    <row r="846" ht="15.75" spans="1:7">
      <c r="A846" s="12">
        <v>845</v>
      </c>
      <c r="B846" s="1">
        <v>19</v>
      </c>
      <c r="C846" s="25">
        <v>2</v>
      </c>
      <c r="D846" s="3">
        <v>2173.38076923077</v>
      </c>
      <c r="E846" s="3">
        <v>847.611965811966</v>
      </c>
      <c r="F846" s="15" t="s">
        <v>262</v>
      </c>
      <c r="G846" s="30" t="s">
        <v>263</v>
      </c>
    </row>
    <row r="847" ht="15.75" spans="1:7">
      <c r="A847" s="12">
        <v>846</v>
      </c>
      <c r="B847" s="1">
        <v>19</v>
      </c>
      <c r="C847" s="25">
        <v>1</v>
      </c>
      <c r="D847" s="3">
        <v>2326.33717948718</v>
      </c>
      <c r="E847" s="3">
        <v>559.694017094017</v>
      </c>
      <c r="F847" s="15" t="s">
        <v>263</v>
      </c>
      <c r="G847" s="30" t="s">
        <v>263</v>
      </c>
    </row>
    <row r="848" ht="15.75" spans="1:7">
      <c r="A848" s="12">
        <v>847</v>
      </c>
      <c r="B848" s="1">
        <v>19</v>
      </c>
      <c r="C848" s="25">
        <v>2</v>
      </c>
      <c r="D848" s="3">
        <v>2119.39615384615</v>
      </c>
      <c r="E848" s="3">
        <v>517.705982905983</v>
      </c>
      <c r="F848" s="15" t="s">
        <v>263</v>
      </c>
      <c r="G848" s="30" t="s">
        <v>264</v>
      </c>
    </row>
    <row r="849" ht="15.75" spans="1:7">
      <c r="A849" s="12">
        <v>848</v>
      </c>
      <c r="B849" s="1">
        <v>19</v>
      </c>
      <c r="C849" s="25">
        <v>1</v>
      </c>
      <c r="D849" s="3">
        <v>2317.33974358974</v>
      </c>
      <c r="E849" s="3">
        <v>358.751282051282</v>
      </c>
      <c r="F849" s="15" t="s">
        <v>264</v>
      </c>
      <c r="G849" s="30" t="s">
        <v>264</v>
      </c>
    </row>
    <row r="850" ht="15.75" spans="1:7">
      <c r="A850" s="12">
        <v>849</v>
      </c>
      <c r="B850" s="1">
        <v>19</v>
      </c>
      <c r="C850" s="25">
        <v>2</v>
      </c>
      <c r="D850" s="3">
        <v>1882.46367521368</v>
      </c>
      <c r="E850" s="3">
        <v>328.759829059829</v>
      </c>
      <c r="F850" s="15" t="s">
        <v>264</v>
      </c>
      <c r="G850" s="30" t="s">
        <v>265</v>
      </c>
    </row>
    <row r="851" ht="15.75" spans="1:7">
      <c r="A851" s="12">
        <v>850</v>
      </c>
      <c r="B851" s="1">
        <v>19</v>
      </c>
      <c r="C851" s="25">
        <v>1</v>
      </c>
      <c r="D851" s="3">
        <v>1378.60726495727</v>
      </c>
      <c r="E851" s="3">
        <v>271.776068376068</v>
      </c>
      <c r="F851" s="15" t="s">
        <v>265</v>
      </c>
      <c r="G851" s="30" t="s">
        <v>266</v>
      </c>
    </row>
    <row r="852" ht="15.75" spans="1:7">
      <c r="A852" s="12">
        <v>851</v>
      </c>
      <c r="B852" s="1">
        <v>19</v>
      </c>
      <c r="C852" s="25">
        <v>1</v>
      </c>
      <c r="D852" s="3">
        <v>1189.66111111111</v>
      </c>
      <c r="E852" s="3">
        <v>520.705128205128</v>
      </c>
      <c r="F852" s="15" t="s">
        <v>266</v>
      </c>
      <c r="G852" s="30" t="s">
        <v>267</v>
      </c>
    </row>
    <row r="853" ht="15.75" spans="1:7">
      <c r="A853" s="12">
        <v>852</v>
      </c>
      <c r="B853" s="1">
        <v>19</v>
      </c>
      <c r="C853" s="25">
        <v>4</v>
      </c>
      <c r="D853" s="3">
        <v>1393.60299145299</v>
      </c>
      <c r="E853" s="3">
        <v>619.676923076923</v>
      </c>
      <c r="F853" s="15" t="s">
        <v>267</v>
      </c>
      <c r="G853" s="30" t="s">
        <v>268</v>
      </c>
    </row>
    <row r="854" ht="15.75" spans="1:7">
      <c r="A854" s="12">
        <v>853</v>
      </c>
      <c r="B854" s="1">
        <v>19</v>
      </c>
      <c r="C854" s="25">
        <v>1</v>
      </c>
      <c r="D854" s="3">
        <v>1390.60384615385</v>
      </c>
      <c r="E854" s="3">
        <v>742.64188034188</v>
      </c>
      <c r="F854" s="15" t="s">
        <v>268</v>
      </c>
      <c r="G854" s="30" t="s">
        <v>269</v>
      </c>
    </row>
    <row r="855" ht="15.75" spans="1:7">
      <c r="A855" s="12">
        <v>854</v>
      </c>
      <c r="B855" s="1">
        <v>19</v>
      </c>
      <c r="C855" s="25">
        <v>1</v>
      </c>
      <c r="D855" s="3">
        <v>1186.66196581197</v>
      </c>
      <c r="E855" s="3">
        <v>1069.54871794872</v>
      </c>
      <c r="F855" s="15" t="s">
        <v>269</v>
      </c>
      <c r="G855" s="30" t="s">
        <v>270</v>
      </c>
    </row>
    <row r="856" ht="15.75" spans="1:7">
      <c r="A856" s="12">
        <v>855</v>
      </c>
      <c r="B856" s="1">
        <v>19</v>
      </c>
      <c r="C856" s="25">
        <v>2</v>
      </c>
      <c r="D856" s="3">
        <v>1774.49444444445</v>
      </c>
      <c r="E856" s="3">
        <v>1960.29487179487</v>
      </c>
      <c r="F856" s="15" t="s">
        <v>270</v>
      </c>
      <c r="G856" s="15" t="s">
        <v>271</v>
      </c>
    </row>
    <row r="857" ht="15.75" spans="1:7">
      <c r="A857" s="12">
        <v>856</v>
      </c>
      <c r="B857" s="1">
        <v>20</v>
      </c>
      <c r="C857" s="25">
        <v>1</v>
      </c>
      <c r="D857" s="3">
        <v>1657.52777777778</v>
      </c>
      <c r="E857" s="3">
        <v>1720.36324786325</v>
      </c>
      <c r="F857" s="15" t="s">
        <v>216</v>
      </c>
      <c r="G857" s="30" t="s">
        <v>216</v>
      </c>
    </row>
    <row r="858" ht="15.75" spans="1:7">
      <c r="A858" s="12">
        <v>857</v>
      </c>
      <c r="B858" s="1">
        <v>20</v>
      </c>
      <c r="C858" s="25">
        <v>2</v>
      </c>
      <c r="D858" s="3">
        <v>1786.49102564103</v>
      </c>
      <c r="E858" s="3">
        <v>1465.4358974359</v>
      </c>
      <c r="F858" s="15" t="s">
        <v>216</v>
      </c>
      <c r="G858" s="30" t="s">
        <v>216</v>
      </c>
    </row>
    <row r="859" ht="15.75" spans="1:7">
      <c r="A859" s="12">
        <v>858</v>
      </c>
      <c r="B859" s="1">
        <v>20</v>
      </c>
      <c r="C859" s="25">
        <v>1</v>
      </c>
      <c r="D859" s="3">
        <v>1780.49273504274</v>
      </c>
      <c r="E859" s="3">
        <v>1300.48290598291</v>
      </c>
      <c r="F859" s="15" t="s">
        <v>216</v>
      </c>
      <c r="G859" s="30" t="s">
        <v>217</v>
      </c>
    </row>
    <row r="860" ht="15.75" spans="1:7">
      <c r="A860" s="12">
        <v>859</v>
      </c>
      <c r="B860" s="1">
        <v>20</v>
      </c>
      <c r="C860" s="25">
        <v>1</v>
      </c>
      <c r="D860" s="3">
        <v>1771.4952991453</v>
      </c>
      <c r="E860" s="3">
        <v>1357.46666666667</v>
      </c>
      <c r="F860" s="15" t="s">
        <v>217</v>
      </c>
      <c r="G860" s="30" t="s">
        <v>241</v>
      </c>
    </row>
    <row r="861" ht="15.75" spans="1:7">
      <c r="A861" s="12">
        <v>860</v>
      </c>
      <c r="B861" s="1">
        <v>20</v>
      </c>
      <c r="C861" s="25">
        <v>1</v>
      </c>
      <c r="D861" s="3">
        <v>1786.49102564103</v>
      </c>
      <c r="E861" s="3">
        <v>1207.5094017094</v>
      </c>
      <c r="F861" s="15" t="s">
        <v>241</v>
      </c>
      <c r="G861" s="30" t="s">
        <v>218</v>
      </c>
    </row>
    <row r="862" ht="15.75" spans="1:7">
      <c r="A862" s="12">
        <v>861</v>
      </c>
      <c r="B862" s="1">
        <v>20</v>
      </c>
      <c r="C862" s="25">
        <v>2</v>
      </c>
      <c r="D862" s="3">
        <v>1780.49273504274</v>
      </c>
      <c r="E862" s="3">
        <v>1045.55555555556</v>
      </c>
      <c r="F862" s="15" t="s">
        <v>218</v>
      </c>
      <c r="G862" s="30" t="s">
        <v>219</v>
      </c>
    </row>
    <row r="863" ht="15.75" spans="1:7">
      <c r="A863" s="12">
        <v>862</v>
      </c>
      <c r="B863" s="1">
        <v>20</v>
      </c>
      <c r="C863" s="25">
        <v>1</v>
      </c>
      <c r="D863" s="3">
        <v>1777.49358974359</v>
      </c>
      <c r="E863" s="3">
        <v>793.62735042735</v>
      </c>
      <c r="F863" s="15" t="s">
        <v>219</v>
      </c>
      <c r="G863" s="30" t="s">
        <v>219</v>
      </c>
    </row>
    <row r="864" ht="15.75" spans="1:7">
      <c r="A864" s="12">
        <v>863</v>
      </c>
      <c r="B864" s="1">
        <v>20</v>
      </c>
      <c r="C864" s="25">
        <v>2</v>
      </c>
      <c r="D864" s="3">
        <v>1765.49700854701</v>
      </c>
      <c r="E864" s="3">
        <v>373.747008547008</v>
      </c>
      <c r="F864" s="15" t="s">
        <v>219</v>
      </c>
      <c r="G864" s="30" t="s">
        <v>220</v>
      </c>
    </row>
    <row r="865" ht="15.75" spans="1:7">
      <c r="A865" s="12">
        <v>864</v>
      </c>
      <c r="B865" s="1">
        <v>20</v>
      </c>
      <c r="C865" s="25">
        <v>1</v>
      </c>
      <c r="D865" s="3">
        <v>1756.49957264957</v>
      </c>
      <c r="E865" s="3">
        <v>334.75811965812</v>
      </c>
      <c r="F865" s="15" t="s">
        <v>220</v>
      </c>
      <c r="G865" s="30" t="s">
        <v>221</v>
      </c>
    </row>
    <row r="866" ht="15.75" spans="1:7">
      <c r="A866" s="12">
        <v>865</v>
      </c>
      <c r="B866" s="1">
        <v>20</v>
      </c>
      <c r="C866" s="25">
        <v>2</v>
      </c>
      <c r="D866" s="3">
        <v>1660.52692307692</v>
      </c>
      <c r="E866" s="3">
        <v>376.746153846153</v>
      </c>
      <c r="F866" s="15" t="s">
        <v>221</v>
      </c>
      <c r="G866" s="30" t="s">
        <v>221</v>
      </c>
    </row>
    <row r="867" ht="15.75" spans="1:7">
      <c r="A867" s="12">
        <v>866</v>
      </c>
      <c r="B867" s="1">
        <v>20</v>
      </c>
      <c r="C867" s="25">
        <v>4</v>
      </c>
      <c r="D867" s="3">
        <v>1660.52692307692</v>
      </c>
      <c r="E867" s="3">
        <v>340.75641025641</v>
      </c>
      <c r="F867" s="15" t="s">
        <v>221</v>
      </c>
      <c r="G867" s="30" t="s">
        <v>222</v>
      </c>
    </row>
    <row r="868" ht="15.75" spans="1:7">
      <c r="A868" s="12">
        <v>867</v>
      </c>
      <c r="B868" s="1">
        <v>20</v>
      </c>
      <c r="C868" s="25">
        <v>4</v>
      </c>
      <c r="D868" s="3">
        <v>1996.4311965812</v>
      </c>
      <c r="E868" s="3">
        <v>277.774358974359</v>
      </c>
      <c r="F868" s="15" t="s">
        <v>222</v>
      </c>
      <c r="G868" s="30" t="s">
        <v>222</v>
      </c>
    </row>
    <row r="869" ht="15.75" spans="1:7">
      <c r="A869" s="12">
        <v>868</v>
      </c>
      <c r="B869" s="1">
        <v>20</v>
      </c>
      <c r="C869" s="25">
        <v>1</v>
      </c>
      <c r="D869" s="3">
        <v>2149.38760683761</v>
      </c>
      <c r="E869" s="3">
        <v>370.747863247863</v>
      </c>
      <c r="F869" s="15" t="s">
        <v>222</v>
      </c>
      <c r="G869" s="30" t="s">
        <v>225</v>
      </c>
    </row>
    <row r="870" ht="15.75" spans="1:7">
      <c r="A870" s="12">
        <v>869</v>
      </c>
      <c r="B870" s="1">
        <v>20</v>
      </c>
      <c r="C870" s="25">
        <v>1</v>
      </c>
      <c r="D870" s="3">
        <v>1867.46794871795</v>
      </c>
      <c r="E870" s="3">
        <v>394.741025641025</v>
      </c>
      <c r="F870" s="15" t="s">
        <v>225</v>
      </c>
      <c r="G870" s="30" t="s">
        <v>227</v>
      </c>
    </row>
    <row r="871" ht="15.75" spans="1:7">
      <c r="A871" s="12">
        <v>870</v>
      </c>
      <c r="B871" s="1">
        <v>20</v>
      </c>
      <c r="C871" s="26">
        <v>3</v>
      </c>
      <c r="D871" s="3">
        <v>1843.47478632479</v>
      </c>
      <c r="E871" s="3">
        <v>712.650427350427</v>
      </c>
      <c r="F871" s="15" t="s">
        <v>227</v>
      </c>
      <c r="G871" s="15" t="s">
        <v>229</v>
      </c>
    </row>
    <row r="872" ht="15.75" spans="1:7">
      <c r="A872" s="12">
        <v>871</v>
      </c>
      <c r="B872" s="1">
        <v>20</v>
      </c>
      <c r="C872" s="25">
        <v>4</v>
      </c>
      <c r="D872" s="3">
        <v>1846.47393162393</v>
      </c>
      <c r="E872" s="3">
        <v>766.635042735043</v>
      </c>
      <c r="F872" s="15" t="s">
        <v>229</v>
      </c>
      <c r="G872" s="15" t="s">
        <v>262</v>
      </c>
    </row>
    <row r="873" ht="15.75" spans="1:7">
      <c r="A873" s="12">
        <v>872</v>
      </c>
      <c r="B873" s="1">
        <v>20</v>
      </c>
      <c r="C873" s="25">
        <v>4</v>
      </c>
      <c r="D873" s="3">
        <v>1920</v>
      </c>
      <c r="E873" s="3">
        <v>1340</v>
      </c>
      <c r="F873" s="15" t="s">
        <v>262</v>
      </c>
      <c r="G873" s="15" t="s">
        <v>266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3"/>
  <sheetViews>
    <sheetView workbookViewId="0">
      <selection activeCell="C2" sqref="C2"/>
    </sheetView>
  </sheetViews>
  <sheetFormatPr defaultColWidth="9.02654867256637" defaultRowHeight="13.5" outlineLevelCol="4"/>
  <cols>
    <col min="3" max="3" width="19.6548672566372" customWidth="1"/>
    <col min="4" max="4" width="12.7964601769912"/>
  </cols>
  <sheetData>
    <row r="1" ht="27" spans="1:5">
      <c r="A1" s="9" t="s">
        <v>61</v>
      </c>
      <c r="B1" s="9" t="s">
        <v>272</v>
      </c>
      <c r="C1" s="10" t="s">
        <v>273</v>
      </c>
      <c r="D1" s="11" t="s">
        <v>64</v>
      </c>
      <c r="E1" s="11" t="s">
        <v>65</v>
      </c>
    </row>
    <row r="2" ht="15.75" spans="1:5">
      <c r="A2" s="12">
        <v>1</v>
      </c>
      <c r="B2" s="12">
        <v>1</v>
      </c>
      <c r="C2" s="13">
        <v>45548.3986574074</v>
      </c>
      <c r="D2" s="14">
        <v>1801.48675213675</v>
      </c>
      <c r="E2" s="14">
        <v>2182.23162393162</v>
      </c>
    </row>
    <row r="3" ht="15.75" spans="1:5">
      <c r="A3" s="12">
        <v>2</v>
      </c>
      <c r="B3" s="12">
        <v>1</v>
      </c>
      <c r="C3" s="13">
        <v>45548.3987152778</v>
      </c>
      <c r="D3" s="14">
        <v>1759.49871794872</v>
      </c>
      <c r="E3" s="14">
        <v>2185.23076923077</v>
      </c>
    </row>
    <row r="4" ht="15.75" spans="1:5">
      <c r="A4" s="12">
        <v>3</v>
      </c>
      <c r="B4" s="12">
        <v>1</v>
      </c>
      <c r="C4" s="13">
        <v>45548.3987731481</v>
      </c>
      <c r="D4" s="14">
        <v>1777.49358974359</v>
      </c>
      <c r="E4" s="14">
        <v>2062.26581196581</v>
      </c>
    </row>
    <row r="5" ht="15.75" spans="1:5">
      <c r="A5" s="12">
        <v>4</v>
      </c>
      <c r="B5" s="12">
        <v>1</v>
      </c>
      <c r="C5" s="13">
        <v>45548.3988308449</v>
      </c>
      <c r="D5" s="14">
        <v>1852.47222222222</v>
      </c>
      <c r="E5" s="14">
        <v>1858.32393162393</v>
      </c>
    </row>
    <row r="6" ht="15.75" spans="1:5">
      <c r="A6" s="12">
        <v>5</v>
      </c>
      <c r="B6" s="12">
        <v>1</v>
      </c>
      <c r="C6" s="13">
        <v>45548.3988886574</v>
      </c>
      <c r="D6" s="14">
        <v>1753.50042735043</v>
      </c>
      <c r="E6" s="14">
        <v>1528.41794871795</v>
      </c>
    </row>
    <row r="7" ht="15.75" spans="1:5">
      <c r="A7" s="12">
        <v>6</v>
      </c>
      <c r="B7" s="12">
        <v>1</v>
      </c>
      <c r="C7" s="13">
        <v>45548.3989464699</v>
      </c>
      <c r="D7" s="14">
        <v>1756.49957264957</v>
      </c>
      <c r="E7" s="14">
        <v>1306.4811965812</v>
      </c>
    </row>
    <row r="8" ht="15.75" spans="1:5">
      <c r="A8" s="12">
        <v>7</v>
      </c>
      <c r="B8" s="12">
        <v>1</v>
      </c>
      <c r="C8" s="13">
        <v>45548.3990042824</v>
      </c>
      <c r="D8" s="14">
        <v>1630.53547008547</v>
      </c>
      <c r="E8" s="14">
        <v>1399.4547008547</v>
      </c>
    </row>
    <row r="9" ht="15.75" spans="1:5">
      <c r="A9" s="12">
        <v>8</v>
      </c>
      <c r="B9" s="12">
        <v>1</v>
      </c>
      <c r="C9" s="13">
        <v>45548.3990620949</v>
      </c>
      <c r="D9" s="14">
        <v>1384.60555555556</v>
      </c>
      <c r="E9" s="14">
        <v>1309.48034188034</v>
      </c>
    </row>
    <row r="10" ht="15.75" spans="1:5">
      <c r="A10" s="12">
        <v>9</v>
      </c>
      <c r="B10" s="12">
        <v>1</v>
      </c>
      <c r="C10" s="13">
        <v>45548.3991199074</v>
      </c>
      <c r="D10" s="14">
        <v>1309.62692307692</v>
      </c>
      <c r="E10" s="14">
        <v>1282.48803418803</v>
      </c>
    </row>
    <row r="11" ht="15.75" spans="1:5">
      <c r="A11" s="12">
        <v>10</v>
      </c>
      <c r="B11" s="12">
        <v>1</v>
      </c>
      <c r="C11" s="13">
        <v>45548.3991777199</v>
      </c>
      <c r="D11" s="14">
        <v>1213.65427350427</v>
      </c>
      <c r="E11" s="14">
        <v>1273.4905982906</v>
      </c>
    </row>
    <row r="12" ht="15.75" spans="1:5">
      <c r="A12" s="12">
        <v>11</v>
      </c>
      <c r="B12" s="12">
        <v>1</v>
      </c>
      <c r="C12" s="13">
        <v>45548.3992355324</v>
      </c>
      <c r="D12" s="14">
        <v>1204.65683760684</v>
      </c>
      <c r="E12" s="14">
        <v>1231.50256410256</v>
      </c>
    </row>
    <row r="13" ht="15.75" spans="1:5">
      <c r="A13" s="12">
        <v>12</v>
      </c>
      <c r="B13" s="12">
        <v>1</v>
      </c>
      <c r="C13" s="13">
        <v>45548.3992933449</v>
      </c>
      <c r="D13" s="14">
        <v>1198.65854700855</v>
      </c>
      <c r="E13" s="14">
        <v>1165.52136752137</v>
      </c>
    </row>
    <row r="14" ht="15.75" spans="1:5">
      <c r="A14" s="12">
        <v>13</v>
      </c>
      <c r="B14" s="12">
        <v>1</v>
      </c>
      <c r="C14" s="13">
        <v>45548.3993511574</v>
      </c>
      <c r="D14" s="14">
        <v>1192.66025641026</v>
      </c>
      <c r="E14" s="14">
        <v>1093.54188034188</v>
      </c>
    </row>
    <row r="15" ht="15.75" spans="1:5">
      <c r="A15" s="12">
        <v>14</v>
      </c>
      <c r="B15" s="12">
        <v>1</v>
      </c>
      <c r="C15" s="13">
        <v>45548.3994089699</v>
      </c>
      <c r="D15" s="14">
        <v>1153.67136752137</v>
      </c>
      <c r="E15" s="14">
        <v>895.598290598291</v>
      </c>
    </row>
    <row r="16" ht="15.75" spans="1:5">
      <c r="A16" s="12">
        <v>15</v>
      </c>
      <c r="B16" s="12">
        <v>1</v>
      </c>
      <c r="C16" s="13">
        <v>45548.3994667824</v>
      </c>
      <c r="D16" s="14">
        <v>1336.61923076923</v>
      </c>
      <c r="E16" s="14">
        <v>808.623076923077</v>
      </c>
    </row>
    <row r="17" ht="15.75" spans="1:5">
      <c r="A17" s="12">
        <v>16</v>
      </c>
      <c r="B17" s="12">
        <v>1</v>
      </c>
      <c r="C17" s="13">
        <v>45548.3995245949</v>
      </c>
      <c r="D17" s="14">
        <v>1342.61752136752</v>
      </c>
      <c r="E17" s="14">
        <v>763.635897435897</v>
      </c>
    </row>
    <row r="18" ht="15.75" spans="1:5">
      <c r="A18" s="12">
        <v>17</v>
      </c>
      <c r="B18" s="12">
        <v>1</v>
      </c>
      <c r="C18" s="13">
        <v>45548.3995824074</v>
      </c>
      <c r="D18" s="14">
        <v>1333.62008547009</v>
      </c>
      <c r="E18" s="14">
        <v>616.677777777778</v>
      </c>
    </row>
    <row r="19" ht="15.75" spans="1:5">
      <c r="A19" s="12">
        <v>18</v>
      </c>
      <c r="B19" s="12">
        <v>1</v>
      </c>
      <c r="C19" s="13">
        <v>45548.3996402199</v>
      </c>
      <c r="D19" s="14">
        <v>1276.63632478632</v>
      </c>
      <c r="E19" s="14">
        <v>622.676068376068</v>
      </c>
    </row>
    <row r="20" ht="15.75" spans="1:5">
      <c r="A20" s="12">
        <v>19</v>
      </c>
      <c r="B20" s="12">
        <v>1</v>
      </c>
      <c r="C20" s="13">
        <v>45548.3996980324</v>
      </c>
      <c r="D20" s="14">
        <v>1372.60897435897</v>
      </c>
      <c r="E20" s="14">
        <v>523.704273504273</v>
      </c>
    </row>
    <row r="21" ht="15.75" spans="1:5">
      <c r="A21" s="12">
        <v>20</v>
      </c>
      <c r="B21" s="12">
        <v>1</v>
      </c>
      <c r="C21" s="13">
        <v>45548.3997558449</v>
      </c>
      <c r="D21" s="14">
        <v>1594.54572649573</v>
      </c>
      <c r="E21" s="14">
        <v>301.767521367521</v>
      </c>
    </row>
    <row r="22" ht="15.75" spans="1:5">
      <c r="A22" s="12">
        <v>21</v>
      </c>
      <c r="B22" s="12">
        <v>1</v>
      </c>
      <c r="C22" s="13">
        <v>45548.3998136574</v>
      </c>
      <c r="D22" s="14">
        <v>2248.3594017094</v>
      </c>
      <c r="E22" s="14">
        <v>295.76923076923</v>
      </c>
    </row>
    <row r="23" ht="15.75" spans="1:5">
      <c r="A23" s="12">
        <v>22</v>
      </c>
      <c r="B23" s="12">
        <v>1</v>
      </c>
      <c r="C23" s="13">
        <v>45548.3998714699</v>
      </c>
      <c r="D23" s="14">
        <v>2137.39102564103</v>
      </c>
      <c r="E23" s="14">
        <v>502.710256410256</v>
      </c>
    </row>
    <row r="24" ht="15.75" spans="1:5">
      <c r="A24" s="12">
        <v>23</v>
      </c>
      <c r="B24" s="12">
        <v>1</v>
      </c>
      <c r="C24" s="13">
        <v>45548.3999292824</v>
      </c>
      <c r="D24" s="14">
        <v>2209.37051282051</v>
      </c>
      <c r="E24" s="14">
        <v>568.691452991453</v>
      </c>
    </row>
    <row r="25" ht="15.75" spans="1:5">
      <c r="A25" s="12">
        <v>24</v>
      </c>
      <c r="B25" s="12">
        <v>1</v>
      </c>
      <c r="C25" s="13">
        <v>45548.3999870949</v>
      </c>
      <c r="D25" s="14">
        <v>2236.36282051282</v>
      </c>
      <c r="E25" s="14">
        <v>628.674358974359</v>
      </c>
    </row>
    <row r="26" ht="15.75" spans="1:5">
      <c r="A26" s="12">
        <v>25</v>
      </c>
      <c r="B26" s="12">
        <v>1</v>
      </c>
      <c r="C26" s="13">
        <v>45548.4000449074</v>
      </c>
      <c r="D26" s="14">
        <v>2149.38760683761</v>
      </c>
      <c r="E26" s="14">
        <v>778.631623931624</v>
      </c>
    </row>
    <row r="27" ht="15.75" spans="1:5">
      <c r="A27" s="12">
        <v>26</v>
      </c>
      <c r="B27" s="12">
        <v>1</v>
      </c>
      <c r="C27" s="13">
        <v>45548.4001027199</v>
      </c>
      <c r="D27" s="14">
        <v>2245.36025641026</v>
      </c>
      <c r="E27" s="14">
        <v>967.577777777778</v>
      </c>
    </row>
    <row r="28" ht="15.75" spans="1:5">
      <c r="A28" s="12">
        <v>27</v>
      </c>
      <c r="B28" s="12">
        <v>1</v>
      </c>
      <c r="C28" s="13">
        <v>45548.4001605324</v>
      </c>
      <c r="D28" s="14">
        <v>2311.34145299145</v>
      </c>
      <c r="E28" s="14">
        <v>958.580341880342</v>
      </c>
    </row>
    <row r="29" ht="15.75" spans="1:5">
      <c r="A29" s="12">
        <v>28</v>
      </c>
      <c r="B29" s="12">
        <v>1</v>
      </c>
      <c r="C29" s="13">
        <v>45548.4002183449</v>
      </c>
      <c r="D29" s="14">
        <v>2194.37478632479</v>
      </c>
      <c r="E29" s="14">
        <v>1039.55726495727</v>
      </c>
    </row>
    <row r="30" ht="15.75" spans="1:5">
      <c r="A30" s="12">
        <v>29</v>
      </c>
      <c r="B30" s="12">
        <v>1</v>
      </c>
      <c r="C30" s="13">
        <v>45548.4002761574</v>
      </c>
      <c r="D30" s="14">
        <v>2164.38333333333</v>
      </c>
      <c r="E30" s="14">
        <v>1123.53333333333</v>
      </c>
    </row>
    <row r="31" ht="15.75" spans="1:5">
      <c r="A31" s="12">
        <v>30</v>
      </c>
      <c r="B31" s="12">
        <v>1</v>
      </c>
      <c r="C31" s="13">
        <v>45548.4003339699</v>
      </c>
      <c r="D31" s="14">
        <v>2185.37735042735</v>
      </c>
      <c r="E31" s="14">
        <v>1246.49829059829</v>
      </c>
    </row>
    <row r="32" ht="15.75" spans="1:5">
      <c r="A32" s="12">
        <v>31</v>
      </c>
      <c r="B32" s="12">
        <v>1</v>
      </c>
      <c r="C32" s="13">
        <v>45548.4003917824</v>
      </c>
      <c r="D32" s="14">
        <v>1885.46282051282</v>
      </c>
      <c r="E32" s="14">
        <v>1393.45641025641</v>
      </c>
    </row>
    <row r="33" ht="15.75" spans="1:5">
      <c r="A33" s="12">
        <v>32</v>
      </c>
      <c r="B33" s="12">
        <v>1</v>
      </c>
      <c r="C33" s="13">
        <v>45548.4004495949</v>
      </c>
      <c r="D33" s="14">
        <v>1912</v>
      </c>
      <c r="E33" s="14">
        <v>1321</v>
      </c>
    </row>
    <row r="34" ht="15.75" spans="1:5">
      <c r="A34" s="12">
        <v>33</v>
      </c>
      <c r="B34" s="12">
        <v>1</v>
      </c>
      <c r="C34" s="13">
        <v>45548.4005074074</v>
      </c>
      <c r="D34" s="14">
        <v>1937</v>
      </c>
      <c r="E34" s="14">
        <v>1275</v>
      </c>
    </row>
    <row r="35" ht="15.75" spans="1:5">
      <c r="A35" s="12">
        <v>34</v>
      </c>
      <c r="B35" s="12">
        <v>1</v>
      </c>
      <c r="C35" s="13">
        <v>45548.4005652199</v>
      </c>
      <c r="D35" s="14">
        <v>1762.49786324786</v>
      </c>
      <c r="E35" s="14">
        <v>1018.56324786325</v>
      </c>
    </row>
    <row r="36" ht="15.75" spans="1:5">
      <c r="A36" s="12">
        <v>35</v>
      </c>
      <c r="B36" s="12">
        <v>1</v>
      </c>
      <c r="C36" s="13">
        <v>45548.4006230324</v>
      </c>
      <c r="D36" s="14">
        <v>1345.61666666667</v>
      </c>
      <c r="E36" s="14">
        <v>1150.52564102564</v>
      </c>
    </row>
    <row r="37" ht="15.75" spans="1:5">
      <c r="A37" s="12">
        <v>36</v>
      </c>
      <c r="B37" s="12">
        <v>1</v>
      </c>
      <c r="C37" s="13">
        <v>45548.4006808449</v>
      </c>
      <c r="D37" s="14">
        <v>1393.60299145299</v>
      </c>
      <c r="E37" s="14">
        <v>1144.52735042735</v>
      </c>
    </row>
    <row r="38" ht="15.75" spans="1:5">
      <c r="A38" s="12">
        <v>37</v>
      </c>
      <c r="B38" s="12">
        <v>1</v>
      </c>
      <c r="C38" s="13">
        <v>45548.4007386574</v>
      </c>
      <c r="D38" s="14">
        <v>1399.60128205128</v>
      </c>
      <c r="E38" s="14">
        <v>1075.54700854701</v>
      </c>
    </row>
    <row r="39" ht="15.75" spans="1:5">
      <c r="A39" s="12">
        <v>38</v>
      </c>
      <c r="B39" s="12">
        <v>1</v>
      </c>
      <c r="C39" s="13">
        <v>45548.4007964699</v>
      </c>
      <c r="D39" s="14">
        <v>1375.60811965812</v>
      </c>
      <c r="E39" s="14">
        <v>1102.53931623932</v>
      </c>
    </row>
    <row r="40" ht="15.75" spans="1:5">
      <c r="A40" s="12">
        <v>39</v>
      </c>
      <c r="B40" s="12">
        <v>1</v>
      </c>
      <c r="C40" s="13">
        <v>45548.4008542824</v>
      </c>
      <c r="D40" s="14">
        <v>1249.64401709402</v>
      </c>
      <c r="E40" s="14">
        <v>1069.54871794872</v>
      </c>
    </row>
    <row r="41" ht="15.75" spans="1:5">
      <c r="A41" s="12">
        <v>40</v>
      </c>
      <c r="B41" s="12">
        <v>1</v>
      </c>
      <c r="C41" s="13">
        <v>45548.4009120949</v>
      </c>
      <c r="D41" s="14">
        <v>1282.63461538462</v>
      </c>
      <c r="E41" s="14">
        <v>1003.56752136752</v>
      </c>
    </row>
    <row r="42" ht="15.75" spans="1:5">
      <c r="A42" s="12">
        <v>41</v>
      </c>
      <c r="B42" s="12">
        <v>1</v>
      </c>
      <c r="C42" s="13">
        <v>45548.4009699074</v>
      </c>
      <c r="D42" s="14">
        <v>1219.65256410256</v>
      </c>
      <c r="E42" s="14">
        <v>964.578632478633</v>
      </c>
    </row>
    <row r="43" ht="15.75" spans="1:5">
      <c r="A43" s="12">
        <v>42</v>
      </c>
      <c r="B43" s="12">
        <v>1</v>
      </c>
      <c r="C43" s="13">
        <v>45548.4010277199</v>
      </c>
      <c r="D43" s="14">
        <v>1240.64658119658</v>
      </c>
      <c r="E43" s="14">
        <v>943.584615384616</v>
      </c>
    </row>
    <row r="44" ht="15.75" spans="1:5">
      <c r="A44" s="12">
        <v>43</v>
      </c>
      <c r="B44" s="12">
        <v>1</v>
      </c>
      <c r="C44" s="13">
        <v>45548.4010855324</v>
      </c>
      <c r="D44" s="14">
        <v>1399.60128205128</v>
      </c>
      <c r="E44" s="14">
        <v>955.581196581197</v>
      </c>
    </row>
    <row r="45" ht="15.75" spans="1:5">
      <c r="A45" s="12">
        <v>44</v>
      </c>
      <c r="B45" s="12">
        <v>1</v>
      </c>
      <c r="C45" s="13">
        <v>45548.4011433449</v>
      </c>
      <c r="D45" s="14">
        <v>1345.61666666667</v>
      </c>
      <c r="E45" s="14">
        <v>697.654700854701</v>
      </c>
    </row>
    <row r="46" ht="15.75" spans="1:5">
      <c r="A46" s="12">
        <v>45</v>
      </c>
      <c r="B46" s="12">
        <v>1</v>
      </c>
      <c r="C46" s="13">
        <v>45548.4012011574</v>
      </c>
      <c r="D46" s="14">
        <v>1387.6047008547</v>
      </c>
      <c r="E46" s="14">
        <v>682.658974358974</v>
      </c>
    </row>
    <row r="47" ht="15.75" spans="1:5">
      <c r="A47" s="12">
        <v>46</v>
      </c>
      <c r="B47" s="12">
        <v>1</v>
      </c>
      <c r="C47" s="13">
        <v>45548.4012589699</v>
      </c>
      <c r="D47" s="14">
        <v>1396.60213675214</v>
      </c>
      <c r="E47" s="14">
        <v>631.673504273504</v>
      </c>
    </row>
    <row r="48" ht="15.75" spans="1:5">
      <c r="A48" s="12">
        <v>47</v>
      </c>
      <c r="B48" s="12">
        <v>1</v>
      </c>
      <c r="C48" s="13">
        <v>45548.4013167824</v>
      </c>
      <c r="D48" s="14">
        <v>1294.6311965812</v>
      </c>
      <c r="E48" s="14">
        <v>634.672649572649</v>
      </c>
    </row>
    <row r="49" ht="15.75" spans="1:5">
      <c r="A49" s="12">
        <v>48</v>
      </c>
      <c r="B49" s="12">
        <v>1</v>
      </c>
      <c r="C49" s="13">
        <v>45548.4013745949</v>
      </c>
      <c r="D49" s="14">
        <v>1234.64829059829</v>
      </c>
      <c r="E49" s="14">
        <v>601.682051282051</v>
      </c>
    </row>
    <row r="50" ht="15.75" spans="1:5">
      <c r="A50" s="12">
        <v>49</v>
      </c>
      <c r="B50" s="12">
        <v>1</v>
      </c>
      <c r="C50" s="13">
        <v>45548.4014324074</v>
      </c>
      <c r="D50" s="14">
        <v>1267.63888888889</v>
      </c>
      <c r="E50" s="14">
        <v>589.68547008547</v>
      </c>
    </row>
    <row r="51" ht="15.75" spans="1:5">
      <c r="A51" s="12">
        <v>50</v>
      </c>
      <c r="B51" s="12">
        <v>1</v>
      </c>
      <c r="C51" s="13">
        <v>45548.4014902199</v>
      </c>
      <c r="D51" s="14">
        <v>1372.60897435897</v>
      </c>
      <c r="E51" s="14">
        <v>418.734188034188</v>
      </c>
    </row>
    <row r="52" ht="15.75" spans="1:5">
      <c r="A52" s="12">
        <v>51</v>
      </c>
      <c r="B52" s="12">
        <v>1</v>
      </c>
      <c r="C52" s="13">
        <v>45548.4015480324</v>
      </c>
      <c r="D52" s="14">
        <v>1264.63974358974</v>
      </c>
      <c r="E52" s="14">
        <v>439.728205128205</v>
      </c>
    </row>
    <row r="53" ht="15.75" spans="1:5">
      <c r="A53" s="12">
        <v>52</v>
      </c>
      <c r="B53" s="12">
        <v>1</v>
      </c>
      <c r="C53" s="13">
        <v>45548.4016058449</v>
      </c>
      <c r="D53" s="14">
        <v>1303.62863247863</v>
      </c>
      <c r="E53" s="14">
        <v>385.743589743589</v>
      </c>
    </row>
    <row r="54" ht="15.75" spans="1:5">
      <c r="A54" s="12">
        <v>53</v>
      </c>
      <c r="B54" s="12">
        <v>1</v>
      </c>
      <c r="C54" s="13">
        <v>45548.4016636574</v>
      </c>
      <c r="D54" s="14">
        <v>1240.64658119658</v>
      </c>
      <c r="E54" s="14">
        <v>316.763247863248</v>
      </c>
    </row>
    <row r="55" ht="15.75" spans="1:5">
      <c r="A55" s="12">
        <v>54</v>
      </c>
      <c r="B55" s="12">
        <v>1</v>
      </c>
      <c r="C55" s="13">
        <v>45548.4017214699</v>
      </c>
      <c r="D55" s="14">
        <v>1297.63034188034</v>
      </c>
      <c r="E55" s="14">
        <v>283.772649572649</v>
      </c>
    </row>
    <row r="56" ht="15.75" spans="1:5">
      <c r="A56" s="12">
        <v>55</v>
      </c>
      <c r="B56" s="12">
        <v>1</v>
      </c>
      <c r="C56" s="13">
        <v>45548.4017792824</v>
      </c>
      <c r="D56" s="14">
        <v>1399.60128205128</v>
      </c>
      <c r="E56" s="14">
        <v>361.750427350427</v>
      </c>
    </row>
    <row r="57" ht="15.75" spans="1:5">
      <c r="A57" s="12">
        <v>56</v>
      </c>
      <c r="B57" s="12">
        <v>1</v>
      </c>
      <c r="C57" s="13">
        <v>45548.4018370949</v>
      </c>
      <c r="D57" s="14">
        <v>1462.58333333333</v>
      </c>
      <c r="E57" s="14">
        <v>358.751282051282</v>
      </c>
    </row>
    <row r="58" ht="15.75" spans="1:5">
      <c r="A58" s="12">
        <v>57</v>
      </c>
      <c r="B58" s="12">
        <v>1</v>
      </c>
      <c r="C58" s="13">
        <v>45548.4018949074</v>
      </c>
      <c r="D58" s="14">
        <v>1489.57564102564</v>
      </c>
      <c r="E58" s="14">
        <v>274.775213675213</v>
      </c>
    </row>
    <row r="59" ht="15.75" spans="1:5">
      <c r="A59" s="12">
        <v>58</v>
      </c>
      <c r="B59" s="12">
        <v>1</v>
      </c>
      <c r="C59" s="13">
        <v>45548.4019527199</v>
      </c>
      <c r="D59" s="14">
        <v>1546.5594017094</v>
      </c>
      <c r="E59" s="14">
        <v>334.75811965812</v>
      </c>
    </row>
    <row r="60" ht="15.75" spans="1:5">
      <c r="A60" s="12">
        <v>59</v>
      </c>
      <c r="B60" s="12">
        <v>1</v>
      </c>
      <c r="C60" s="13">
        <v>45548.4020105324</v>
      </c>
      <c r="D60" s="14">
        <v>1753.50042735043</v>
      </c>
      <c r="E60" s="14">
        <v>388.742735042735</v>
      </c>
    </row>
    <row r="61" ht="15.75" spans="1:5">
      <c r="A61" s="12">
        <v>60</v>
      </c>
      <c r="B61" s="12">
        <v>1</v>
      </c>
      <c r="C61" s="13">
        <v>45548.4020683449</v>
      </c>
      <c r="D61" s="14">
        <v>1786.49102564103</v>
      </c>
      <c r="E61" s="14">
        <v>388.742735042735</v>
      </c>
    </row>
    <row r="62" ht="15.75" spans="1:5">
      <c r="A62" s="12">
        <v>61</v>
      </c>
      <c r="B62" s="12">
        <v>1</v>
      </c>
      <c r="C62" s="13">
        <v>45548.4021261574</v>
      </c>
      <c r="D62" s="14">
        <v>2038.41923076923</v>
      </c>
      <c r="E62" s="14">
        <v>289.77094017094</v>
      </c>
    </row>
    <row r="63" ht="15.75" spans="1:5">
      <c r="A63" s="12">
        <v>62</v>
      </c>
      <c r="B63" s="12">
        <v>1</v>
      </c>
      <c r="C63" s="13">
        <v>45548.4021839699</v>
      </c>
      <c r="D63" s="14">
        <v>1987.43376068376</v>
      </c>
      <c r="E63" s="14">
        <v>289.77094017094</v>
      </c>
    </row>
    <row r="64" ht="15.75" spans="1:5">
      <c r="A64" s="12">
        <v>63</v>
      </c>
      <c r="B64" s="12">
        <v>1</v>
      </c>
      <c r="C64" s="13">
        <v>45548.4022417824</v>
      </c>
      <c r="D64" s="14">
        <v>2290.34743589744</v>
      </c>
      <c r="E64" s="14">
        <v>436.72905982906</v>
      </c>
    </row>
    <row r="65" ht="15.75" spans="1:5">
      <c r="A65" s="12">
        <v>64</v>
      </c>
      <c r="B65" s="12">
        <v>1</v>
      </c>
      <c r="C65" s="13">
        <v>45548.4022995949</v>
      </c>
      <c r="D65" s="14">
        <v>2200.37307692308</v>
      </c>
      <c r="E65" s="14">
        <v>583.687179487179</v>
      </c>
    </row>
    <row r="66" ht="15.75" spans="1:5">
      <c r="A66" s="12">
        <v>65</v>
      </c>
      <c r="B66" s="12">
        <v>1</v>
      </c>
      <c r="C66" s="13">
        <v>45548.4023574074</v>
      </c>
      <c r="D66" s="14">
        <v>1888.46196581197</v>
      </c>
      <c r="E66" s="14">
        <v>1393.45641025641</v>
      </c>
    </row>
    <row r="67" ht="15.75" spans="1:5">
      <c r="A67" s="12">
        <v>66</v>
      </c>
      <c r="B67" s="12">
        <v>2</v>
      </c>
      <c r="C67" s="13">
        <v>45548.3986574074</v>
      </c>
      <c r="D67" s="14">
        <v>1789.49017094017</v>
      </c>
      <c r="E67" s="14">
        <v>2248.21282051282</v>
      </c>
    </row>
    <row r="68" ht="15.75" spans="1:5">
      <c r="A68" s="12">
        <v>67</v>
      </c>
      <c r="B68" s="12">
        <v>2</v>
      </c>
      <c r="C68" s="13">
        <v>45548.3987152778</v>
      </c>
      <c r="D68" s="14">
        <v>1774.49444444444</v>
      </c>
      <c r="E68" s="14">
        <v>2230.21794871795</v>
      </c>
    </row>
    <row r="69" ht="15.75" spans="1:5">
      <c r="A69" s="12">
        <v>68</v>
      </c>
      <c r="B69" s="12">
        <v>2</v>
      </c>
      <c r="C69" s="13">
        <v>45548.3987731481</v>
      </c>
      <c r="D69" s="14">
        <v>1654.52863247863</v>
      </c>
      <c r="E69" s="14">
        <v>1852.32564102564</v>
      </c>
    </row>
    <row r="70" ht="15.75" spans="1:5">
      <c r="A70" s="12">
        <v>69</v>
      </c>
      <c r="B70" s="12">
        <v>2</v>
      </c>
      <c r="C70" s="13">
        <v>45548.3988308449</v>
      </c>
      <c r="D70" s="14">
        <v>1702.51495726496</v>
      </c>
      <c r="E70" s="14">
        <v>1303.48205128205</v>
      </c>
    </row>
    <row r="71" ht="15.75" spans="1:5">
      <c r="A71" s="12">
        <v>70</v>
      </c>
      <c r="B71" s="12">
        <v>2</v>
      </c>
      <c r="C71" s="13">
        <v>45548.3988886574</v>
      </c>
      <c r="D71" s="14">
        <v>1393.60299145299</v>
      </c>
      <c r="E71" s="14">
        <v>1252.49658119658</v>
      </c>
    </row>
    <row r="72" ht="15.75" spans="1:5">
      <c r="A72" s="12">
        <v>71</v>
      </c>
      <c r="B72" s="12">
        <v>2</v>
      </c>
      <c r="C72" s="13">
        <v>45548.3989464699</v>
      </c>
      <c r="D72" s="14">
        <v>1375.60811965812</v>
      </c>
      <c r="E72" s="14">
        <v>1213.50769230769</v>
      </c>
    </row>
    <row r="73" ht="15.75" spans="1:5">
      <c r="A73" s="12">
        <v>72</v>
      </c>
      <c r="B73" s="12">
        <v>2</v>
      </c>
      <c r="C73" s="13">
        <v>45548.3990042824</v>
      </c>
      <c r="D73" s="14">
        <v>1231.64914529915</v>
      </c>
      <c r="E73" s="14">
        <v>1288.48632478632</v>
      </c>
    </row>
    <row r="74" ht="15.75" spans="1:5">
      <c r="A74" s="12">
        <v>73</v>
      </c>
      <c r="B74" s="12">
        <v>2</v>
      </c>
      <c r="C74" s="13">
        <v>45548.3990620949</v>
      </c>
      <c r="D74" s="14">
        <v>1192.66025641026</v>
      </c>
      <c r="E74" s="14">
        <v>1171.51965811966</v>
      </c>
    </row>
    <row r="75" ht="15.75" spans="1:5">
      <c r="A75" s="12">
        <v>74</v>
      </c>
      <c r="B75" s="12">
        <v>2</v>
      </c>
      <c r="C75" s="13">
        <v>45548.3991199074</v>
      </c>
      <c r="D75" s="14">
        <v>1399.60128205128</v>
      </c>
      <c r="E75" s="14">
        <v>850.611111111111</v>
      </c>
    </row>
    <row r="76" ht="15.75" spans="1:5">
      <c r="A76" s="12">
        <v>75</v>
      </c>
      <c r="B76" s="12">
        <v>2</v>
      </c>
      <c r="C76" s="13">
        <v>45548.3991777199</v>
      </c>
      <c r="D76" s="14">
        <v>1168.66709401709</v>
      </c>
      <c r="E76" s="14">
        <v>697.654700854701</v>
      </c>
    </row>
    <row r="77" ht="15.75" spans="1:5">
      <c r="A77" s="12">
        <v>76</v>
      </c>
      <c r="B77" s="12">
        <v>2</v>
      </c>
      <c r="C77" s="13">
        <v>45548.3992355324</v>
      </c>
      <c r="D77" s="14">
        <v>1753.50042735043</v>
      </c>
      <c r="E77" s="14">
        <v>310.764957264957</v>
      </c>
    </row>
    <row r="78" ht="15.75" spans="1:5">
      <c r="A78" s="12">
        <v>77</v>
      </c>
      <c r="B78" s="12">
        <v>2</v>
      </c>
      <c r="C78" s="13">
        <v>45548.3992933449</v>
      </c>
      <c r="D78" s="14">
        <v>2140.39017094017</v>
      </c>
      <c r="E78" s="14">
        <v>508.708547008547</v>
      </c>
    </row>
    <row r="79" ht="15.75" spans="1:5">
      <c r="A79" s="12">
        <v>78</v>
      </c>
      <c r="B79" s="12">
        <v>2</v>
      </c>
      <c r="C79" s="13">
        <v>45548.3993511574</v>
      </c>
      <c r="D79" s="14">
        <v>2242.36111111111</v>
      </c>
      <c r="E79" s="14">
        <v>565.692307692308</v>
      </c>
    </row>
    <row r="80" ht="15.75" spans="1:5">
      <c r="A80" s="12">
        <v>79</v>
      </c>
      <c r="B80" s="12">
        <v>2</v>
      </c>
      <c r="C80" s="13">
        <v>45548.3994089699</v>
      </c>
      <c r="D80" s="14">
        <v>2122.3952991453</v>
      </c>
      <c r="E80" s="14">
        <v>739.642735042735</v>
      </c>
    </row>
    <row r="81" ht="15.75" spans="1:5">
      <c r="A81" s="12">
        <v>80</v>
      </c>
      <c r="B81" s="12">
        <v>2</v>
      </c>
      <c r="C81" s="13">
        <v>45548.3994667824</v>
      </c>
      <c r="D81" s="14">
        <v>2131.39273504274</v>
      </c>
      <c r="E81" s="14">
        <v>865.606837606838</v>
      </c>
    </row>
    <row r="82" ht="15.75" spans="1:5">
      <c r="A82" s="12">
        <v>81</v>
      </c>
      <c r="B82" s="12">
        <v>2</v>
      </c>
      <c r="C82" s="13">
        <v>45548.3995245949</v>
      </c>
      <c r="D82" s="14">
        <v>2155.3858974359</v>
      </c>
      <c r="E82" s="14">
        <v>961.579487179487</v>
      </c>
    </row>
    <row r="83" ht="15.75" spans="1:5">
      <c r="A83" s="12">
        <v>82</v>
      </c>
      <c r="B83" s="12">
        <v>2</v>
      </c>
      <c r="C83" s="13">
        <v>45548.3995824074</v>
      </c>
      <c r="D83" s="14">
        <v>1381.60641025641</v>
      </c>
      <c r="E83" s="14">
        <v>1069.54871794872</v>
      </c>
    </row>
    <row r="84" ht="15.75" spans="1:5">
      <c r="A84" s="12">
        <v>83</v>
      </c>
      <c r="B84" s="12">
        <v>2</v>
      </c>
      <c r="C84" s="13">
        <v>45548.3996402199</v>
      </c>
      <c r="D84" s="14">
        <v>1267.63888888889</v>
      </c>
      <c r="E84" s="14">
        <v>1054.55299145299</v>
      </c>
    </row>
    <row r="85" ht="15.75" spans="1:5">
      <c r="A85" s="12">
        <v>84</v>
      </c>
      <c r="B85" s="12">
        <v>2</v>
      </c>
      <c r="C85" s="13">
        <v>45548.3996980324</v>
      </c>
      <c r="D85" s="14">
        <v>1393.60299145299</v>
      </c>
      <c r="E85" s="14">
        <v>895.598290598291</v>
      </c>
    </row>
    <row r="86" ht="15.75" spans="1:5">
      <c r="A86" s="12">
        <v>85</v>
      </c>
      <c r="B86" s="12">
        <v>2</v>
      </c>
      <c r="C86" s="13">
        <v>45548.3997558449</v>
      </c>
      <c r="D86" s="14">
        <v>1393.60299145299</v>
      </c>
      <c r="E86" s="14">
        <v>625.675213675214</v>
      </c>
    </row>
    <row r="87" ht="15.75" spans="1:5">
      <c r="A87" s="12">
        <v>86</v>
      </c>
      <c r="B87" s="12">
        <v>2</v>
      </c>
      <c r="C87" s="13">
        <v>45548.3998136574</v>
      </c>
      <c r="D87" s="14">
        <v>1333.62008547009</v>
      </c>
      <c r="E87" s="14">
        <v>637.671794871795</v>
      </c>
    </row>
    <row r="88" ht="15.75" spans="1:5">
      <c r="A88" s="12">
        <v>87</v>
      </c>
      <c r="B88" s="12">
        <v>2</v>
      </c>
      <c r="C88" s="13">
        <v>45548.3998714699</v>
      </c>
      <c r="D88" s="14">
        <v>1243.64572649573</v>
      </c>
      <c r="E88" s="14">
        <v>634.672649572649</v>
      </c>
    </row>
    <row r="89" ht="15.75" spans="1:5">
      <c r="A89" s="12">
        <v>88</v>
      </c>
      <c r="B89" s="12">
        <v>2</v>
      </c>
      <c r="C89" s="13">
        <v>45548.3999292824</v>
      </c>
      <c r="D89" s="14">
        <v>1339.61837606838</v>
      </c>
      <c r="E89" s="14">
        <v>421.733333333333</v>
      </c>
    </row>
    <row r="90" ht="15.75" spans="1:5">
      <c r="A90" s="12">
        <v>89</v>
      </c>
      <c r="B90" s="12">
        <v>2</v>
      </c>
      <c r="C90" s="13">
        <v>45548.3999870949</v>
      </c>
      <c r="D90" s="14">
        <v>1240.64658119658</v>
      </c>
      <c r="E90" s="14">
        <v>430.730769230769</v>
      </c>
    </row>
    <row r="91" ht="15.75" spans="1:5">
      <c r="A91" s="12">
        <v>90</v>
      </c>
      <c r="B91" s="12">
        <v>2</v>
      </c>
      <c r="C91" s="13">
        <v>45548.4000449074</v>
      </c>
      <c r="D91" s="14">
        <v>1516.56794871795</v>
      </c>
      <c r="E91" s="14">
        <v>283.772649572649</v>
      </c>
    </row>
    <row r="92" ht="15.75" spans="1:5">
      <c r="A92" s="12">
        <v>91</v>
      </c>
      <c r="B92" s="12">
        <v>2</v>
      </c>
      <c r="C92" s="13">
        <v>45548.4001027199</v>
      </c>
      <c r="D92" s="14">
        <v>1651.52948717949</v>
      </c>
      <c r="E92" s="14">
        <v>307.765811965812</v>
      </c>
    </row>
    <row r="93" ht="15.75" spans="1:5">
      <c r="A93" s="12">
        <v>92</v>
      </c>
      <c r="B93" s="12">
        <v>2</v>
      </c>
      <c r="C93" s="13">
        <v>45548.4001605324</v>
      </c>
      <c r="D93" s="14">
        <v>2008.42777777778</v>
      </c>
      <c r="E93" s="14">
        <v>283.772649572649</v>
      </c>
    </row>
    <row r="94" ht="15.75" spans="1:5">
      <c r="A94" s="12">
        <v>93</v>
      </c>
      <c r="B94" s="12">
        <v>2</v>
      </c>
      <c r="C94" s="13">
        <v>45548.4002183449</v>
      </c>
      <c r="D94" s="14">
        <v>2161.38418803419</v>
      </c>
      <c r="E94" s="14">
        <v>394.741025641025</v>
      </c>
    </row>
    <row r="95" ht="15.75" spans="1:5">
      <c r="A95" s="12">
        <v>94</v>
      </c>
      <c r="B95" s="12">
        <v>2</v>
      </c>
      <c r="C95" s="13">
        <v>45548.4002761574</v>
      </c>
      <c r="D95" s="14">
        <v>2158.38504273504</v>
      </c>
      <c r="E95" s="14">
        <v>469.719658119658</v>
      </c>
    </row>
    <row r="96" ht="15.75" spans="1:5">
      <c r="A96" s="12">
        <v>95</v>
      </c>
      <c r="B96" s="12">
        <v>2</v>
      </c>
      <c r="C96" s="13">
        <v>45548.4003339699</v>
      </c>
      <c r="D96" s="14">
        <v>2116.39700854701</v>
      </c>
      <c r="E96" s="14">
        <v>661.664957264957</v>
      </c>
    </row>
    <row r="97" ht="15.75" spans="1:5">
      <c r="A97" s="12">
        <v>96</v>
      </c>
      <c r="B97" s="12">
        <v>2</v>
      </c>
      <c r="C97" s="13">
        <v>45548.4003917824</v>
      </c>
      <c r="D97" s="14">
        <v>2113.39786324786</v>
      </c>
      <c r="E97" s="14">
        <v>976.575213675214</v>
      </c>
    </row>
    <row r="98" ht="15.75" spans="1:5">
      <c r="A98" s="12">
        <v>97</v>
      </c>
      <c r="B98" s="12">
        <v>2</v>
      </c>
      <c r="C98" s="13">
        <v>45548.4004495949</v>
      </c>
      <c r="D98" s="14">
        <v>2287.34829059829</v>
      </c>
      <c r="E98" s="14">
        <v>1171.51965811966</v>
      </c>
    </row>
    <row r="99" ht="15.75" spans="1:5">
      <c r="A99" s="12">
        <v>98</v>
      </c>
      <c r="B99" s="12">
        <v>2</v>
      </c>
      <c r="C99" s="13">
        <v>45548.4005074074</v>
      </c>
      <c r="D99" s="14">
        <v>2185.37735042735</v>
      </c>
      <c r="E99" s="14">
        <v>1006.56666666667</v>
      </c>
    </row>
    <row r="100" ht="15.75" spans="1:5">
      <c r="A100" s="12">
        <v>99</v>
      </c>
      <c r="B100" s="12">
        <v>2</v>
      </c>
      <c r="C100" s="13">
        <v>45548.4005652199</v>
      </c>
      <c r="D100" s="14">
        <v>2086.40555555556</v>
      </c>
      <c r="E100" s="14">
        <v>1306.4811965812</v>
      </c>
    </row>
    <row r="101" ht="15.75" spans="1:5">
      <c r="A101" s="12">
        <v>100</v>
      </c>
      <c r="B101" s="12">
        <v>2</v>
      </c>
      <c r="C101" s="13">
        <v>45548.4006230324</v>
      </c>
      <c r="D101" s="14">
        <v>1960</v>
      </c>
      <c r="E101" s="14">
        <v>1307</v>
      </c>
    </row>
    <row r="102" ht="15.75" spans="1:5">
      <c r="A102" s="12">
        <v>101</v>
      </c>
      <c r="B102" s="12">
        <v>2</v>
      </c>
      <c r="C102" s="13">
        <v>45548.4006808449</v>
      </c>
      <c r="D102" s="14">
        <v>1744.50299145299</v>
      </c>
      <c r="E102" s="14">
        <v>1135.52991452991</v>
      </c>
    </row>
    <row r="103" ht="15.75" spans="1:5">
      <c r="A103" s="12">
        <v>102</v>
      </c>
      <c r="B103" s="12">
        <v>2</v>
      </c>
      <c r="C103" s="13">
        <v>45548.4007386574</v>
      </c>
      <c r="D103" s="14">
        <v>1789.49017094017</v>
      </c>
      <c r="E103" s="14">
        <v>1123.53333333333</v>
      </c>
    </row>
    <row r="104" ht="15.75" spans="1:5">
      <c r="A104" s="12">
        <v>103</v>
      </c>
      <c r="B104" s="12">
        <v>2</v>
      </c>
      <c r="C104" s="13">
        <v>45548.4007964699</v>
      </c>
      <c r="D104" s="14">
        <v>1819.48162393162</v>
      </c>
      <c r="E104" s="14">
        <v>352.752991452991</v>
      </c>
    </row>
    <row r="105" ht="15.75" spans="1:5">
      <c r="A105" s="12">
        <v>104</v>
      </c>
      <c r="B105" s="12">
        <v>2</v>
      </c>
      <c r="C105" s="13">
        <v>45548.4008542824</v>
      </c>
      <c r="D105" s="14">
        <v>1366.61068376068</v>
      </c>
      <c r="E105" s="14">
        <v>622.676068376068</v>
      </c>
    </row>
    <row r="106" ht="15.75" spans="1:5">
      <c r="A106" s="12">
        <v>105</v>
      </c>
      <c r="B106" s="12">
        <v>2</v>
      </c>
      <c r="C106" s="13">
        <v>45548.4009120949</v>
      </c>
      <c r="D106" s="14">
        <v>1342.61752136752</v>
      </c>
      <c r="E106" s="14">
        <v>748.640170940171</v>
      </c>
    </row>
    <row r="107" ht="15.75" spans="1:5">
      <c r="A107" s="12">
        <v>106</v>
      </c>
      <c r="B107" s="12">
        <v>2</v>
      </c>
      <c r="C107" s="13">
        <v>45548.4009699074</v>
      </c>
      <c r="D107" s="14">
        <v>1366.61068376068</v>
      </c>
      <c r="E107" s="14">
        <v>781.630769230769</v>
      </c>
    </row>
    <row r="108" ht="15.75" spans="1:5">
      <c r="A108" s="12">
        <v>107</v>
      </c>
      <c r="B108" s="12">
        <v>2</v>
      </c>
      <c r="C108" s="13">
        <v>45548.4010277199</v>
      </c>
      <c r="D108" s="14">
        <v>1393.60299145299</v>
      </c>
      <c r="E108" s="14">
        <v>973.576068376068</v>
      </c>
    </row>
    <row r="109" ht="15.75" spans="1:5">
      <c r="A109" s="12">
        <v>108</v>
      </c>
      <c r="B109" s="12">
        <v>2</v>
      </c>
      <c r="C109" s="13">
        <v>45548.4010855324</v>
      </c>
      <c r="D109" s="14">
        <v>1366.61068376068</v>
      </c>
      <c r="E109" s="14">
        <v>1021.56239316239</v>
      </c>
    </row>
    <row r="110" ht="15.75" spans="1:5">
      <c r="A110" s="12">
        <v>109</v>
      </c>
      <c r="B110" s="12">
        <v>2</v>
      </c>
      <c r="C110" s="13">
        <v>45548.4011433449</v>
      </c>
      <c r="D110" s="14">
        <v>1399.60128205128</v>
      </c>
      <c r="E110" s="14">
        <v>1066.54957264957</v>
      </c>
    </row>
    <row r="111" ht="15.75" spans="1:5">
      <c r="A111" s="12">
        <v>110</v>
      </c>
      <c r="B111" s="12">
        <v>2</v>
      </c>
      <c r="C111" s="13">
        <v>45548.4012011574</v>
      </c>
      <c r="D111" s="14">
        <v>2341.33290598291</v>
      </c>
      <c r="E111" s="14">
        <v>1273.4905982906</v>
      </c>
    </row>
    <row r="112" ht="15.75" spans="1:5">
      <c r="A112" s="12">
        <v>111</v>
      </c>
      <c r="B112" s="12">
        <v>2</v>
      </c>
      <c r="C112" s="13">
        <v>45548.4012589699</v>
      </c>
      <c r="D112" s="14">
        <v>2332.33547008547</v>
      </c>
      <c r="E112" s="14">
        <v>1099.54017094017</v>
      </c>
    </row>
    <row r="113" ht="15.75" spans="1:5">
      <c r="A113" s="12">
        <v>112</v>
      </c>
      <c r="B113" s="12">
        <v>2</v>
      </c>
      <c r="C113" s="13">
        <v>45548.4013167824</v>
      </c>
      <c r="D113" s="14">
        <v>2176.37991452992</v>
      </c>
      <c r="E113" s="14">
        <v>526.703418803419</v>
      </c>
    </row>
    <row r="114" ht="15.75" spans="1:5">
      <c r="A114" s="12">
        <v>113</v>
      </c>
      <c r="B114" s="12">
        <v>2</v>
      </c>
      <c r="C114" s="13">
        <v>45548.4013745949</v>
      </c>
      <c r="D114" s="14">
        <v>2296.34572649573</v>
      </c>
      <c r="E114" s="14">
        <v>406.737606837607</v>
      </c>
    </row>
    <row r="115" ht="15.75" spans="1:5">
      <c r="A115" s="12">
        <v>114</v>
      </c>
      <c r="B115" s="12">
        <v>2</v>
      </c>
      <c r="C115" s="13">
        <v>45548.4014324074</v>
      </c>
      <c r="D115" s="14">
        <v>2260.35598290598</v>
      </c>
      <c r="E115" s="14">
        <v>277.774358974359</v>
      </c>
    </row>
    <row r="116" ht="15.75" spans="1:5">
      <c r="A116" s="12">
        <v>115</v>
      </c>
      <c r="B116" s="12">
        <v>2</v>
      </c>
      <c r="C116" s="13">
        <v>45548.4014902199</v>
      </c>
      <c r="D116" s="14">
        <v>1744.50299145299</v>
      </c>
      <c r="E116" s="14">
        <v>325.760683760684</v>
      </c>
    </row>
    <row r="117" ht="15.75" spans="1:5">
      <c r="A117" s="12">
        <v>116</v>
      </c>
      <c r="B117" s="12">
        <v>2</v>
      </c>
      <c r="C117" s="13">
        <v>45548.4015480324</v>
      </c>
      <c r="D117" s="14">
        <v>1735.50555555556</v>
      </c>
      <c r="E117" s="14">
        <v>448.725641025641</v>
      </c>
    </row>
    <row r="118" ht="15.75" spans="1:5">
      <c r="A118" s="12">
        <v>117</v>
      </c>
      <c r="B118" s="12">
        <v>2</v>
      </c>
      <c r="C118" s="13">
        <v>45548.4016058449</v>
      </c>
      <c r="D118" s="14">
        <v>1585.54829059829</v>
      </c>
      <c r="E118" s="14">
        <v>1237.50085470085</v>
      </c>
    </row>
    <row r="119" ht="15.75" spans="1:5">
      <c r="A119" s="12">
        <v>118</v>
      </c>
      <c r="B119" s="12">
        <v>2</v>
      </c>
      <c r="C119" s="13">
        <v>45548.4016636574</v>
      </c>
      <c r="D119" s="14">
        <v>1747.50213675214</v>
      </c>
      <c r="E119" s="14">
        <v>1600.39743589744</v>
      </c>
    </row>
    <row r="120" ht="15.75" spans="1:5">
      <c r="A120" s="12">
        <v>119</v>
      </c>
      <c r="B120" s="12">
        <v>2</v>
      </c>
      <c r="C120" s="13">
        <v>45548.4017214699</v>
      </c>
      <c r="D120" s="14">
        <v>1762.49786324786</v>
      </c>
      <c r="E120" s="14">
        <v>1873.31965811966</v>
      </c>
    </row>
    <row r="121" ht="15.75" spans="1:5">
      <c r="A121" s="12">
        <v>120</v>
      </c>
      <c r="B121" s="12">
        <v>3</v>
      </c>
      <c r="C121" s="13">
        <v>45548.3986574074</v>
      </c>
      <c r="D121" s="14">
        <v>1798.48760683761</v>
      </c>
      <c r="E121" s="14">
        <v>2107.25299145299</v>
      </c>
    </row>
    <row r="122" ht="15.75" spans="1:5">
      <c r="A122" s="12">
        <v>121</v>
      </c>
      <c r="B122" s="12">
        <v>3</v>
      </c>
      <c r="C122" s="13">
        <v>45548.3987152778</v>
      </c>
      <c r="D122" s="14">
        <v>1813.48333333333</v>
      </c>
      <c r="E122" s="14">
        <v>1630.38888888889</v>
      </c>
    </row>
    <row r="123" ht="15.75" spans="1:5">
      <c r="A123" s="12">
        <v>122</v>
      </c>
      <c r="B123" s="12">
        <v>3</v>
      </c>
      <c r="C123" s="13">
        <v>45548.3987731481</v>
      </c>
      <c r="D123" s="14">
        <v>1762.49786324786</v>
      </c>
      <c r="E123" s="14">
        <v>1303.48205128205</v>
      </c>
    </row>
    <row r="124" ht="15.75" spans="1:5">
      <c r="A124" s="12">
        <v>123</v>
      </c>
      <c r="B124" s="12">
        <v>3</v>
      </c>
      <c r="C124" s="13">
        <v>45548.3988308449</v>
      </c>
      <c r="D124" s="14">
        <v>1384.60555555556</v>
      </c>
      <c r="E124" s="14">
        <v>1216.50683760684</v>
      </c>
    </row>
    <row r="125" ht="15.75" spans="1:5">
      <c r="A125" s="12">
        <v>124</v>
      </c>
      <c r="B125" s="12">
        <v>3</v>
      </c>
      <c r="C125" s="13">
        <v>45548.3988886574</v>
      </c>
      <c r="D125" s="14">
        <v>1318.62435897436</v>
      </c>
      <c r="E125" s="14">
        <v>1153.52478632479</v>
      </c>
    </row>
    <row r="126" ht="15.75" spans="1:5">
      <c r="A126" s="12">
        <v>125</v>
      </c>
      <c r="B126" s="12">
        <v>3</v>
      </c>
      <c r="C126" s="13">
        <v>45548.3989464699</v>
      </c>
      <c r="D126" s="14">
        <v>1384.60555555556</v>
      </c>
      <c r="E126" s="14">
        <v>1144.52735042735</v>
      </c>
    </row>
    <row r="127" ht="15.75" spans="1:5">
      <c r="A127" s="12">
        <v>126</v>
      </c>
      <c r="B127" s="12">
        <v>3</v>
      </c>
      <c r="C127" s="13">
        <v>45548.3990042824</v>
      </c>
      <c r="D127" s="14">
        <v>1393.60299145299</v>
      </c>
      <c r="E127" s="14">
        <v>1099.54017094017</v>
      </c>
    </row>
    <row r="128" ht="15.75" spans="1:5">
      <c r="A128" s="12">
        <v>127</v>
      </c>
      <c r="B128" s="12">
        <v>3</v>
      </c>
      <c r="C128" s="13">
        <v>45548.3990620949</v>
      </c>
      <c r="D128" s="14">
        <v>1396.60213675214</v>
      </c>
      <c r="E128" s="14">
        <v>1027.56068376068</v>
      </c>
    </row>
    <row r="129" ht="15.75" spans="1:5">
      <c r="A129" s="12">
        <v>128</v>
      </c>
      <c r="B129" s="12">
        <v>3</v>
      </c>
      <c r="C129" s="13">
        <v>45548.3991199074</v>
      </c>
      <c r="D129" s="14">
        <v>1387.6047008547</v>
      </c>
      <c r="E129" s="14">
        <v>841.613675213675</v>
      </c>
    </row>
    <row r="130" ht="15.75" spans="1:5">
      <c r="A130" s="12">
        <v>129</v>
      </c>
      <c r="B130" s="12">
        <v>3</v>
      </c>
      <c r="C130" s="13">
        <v>45548.3991777199</v>
      </c>
      <c r="D130" s="14">
        <v>1336.61923076923</v>
      </c>
      <c r="E130" s="14">
        <v>769.634188034188</v>
      </c>
    </row>
    <row r="131" ht="15.75" spans="1:5">
      <c r="A131" s="12">
        <v>130</v>
      </c>
      <c r="B131" s="12">
        <v>3</v>
      </c>
      <c r="C131" s="13">
        <v>45548.3992355324</v>
      </c>
      <c r="D131" s="14">
        <v>1330.62094017094</v>
      </c>
      <c r="E131" s="14">
        <v>628.674358974359</v>
      </c>
    </row>
    <row r="132" ht="15.75" spans="1:5">
      <c r="A132" s="12">
        <v>131</v>
      </c>
      <c r="B132" s="12">
        <v>3</v>
      </c>
      <c r="C132" s="13">
        <v>45548.3992933449</v>
      </c>
      <c r="D132" s="14">
        <v>1258.64145299145</v>
      </c>
      <c r="E132" s="14">
        <v>298.768376068376</v>
      </c>
    </row>
    <row r="133" ht="15.75" spans="1:5">
      <c r="A133" s="12">
        <v>132</v>
      </c>
      <c r="B133" s="12">
        <v>3</v>
      </c>
      <c r="C133" s="13">
        <v>45548.3993511574</v>
      </c>
      <c r="D133" s="14">
        <v>2245.36025641026</v>
      </c>
      <c r="E133" s="14">
        <v>319.762393162393</v>
      </c>
    </row>
    <row r="134" ht="15.75" spans="1:5">
      <c r="A134" s="12">
        <v>133</v>
      </c>
      <c r="B134" s="12">
        <v>3</v>
      </c>
      <c r="C134" s="13">
        <v>45548.3994089699</v>
      </c>
      <c r="D134" s="14">
        <v>2263.35512820513</v>
      </c>
      <c r="E134" s="14">
        <v>565.692307692308</v>
      </c>
    </row>
    <row r="135" ht="15.75" spans="1:5">
      <c r="A135" s="12">
        <v>134</v>
      </c>
      <c r="B135" s="12">
        <v>3</v>
      </c>
      <c r="C135" s="13">
        <v>45548.3994667824</v>
      </c>
      <c r="D135" s="14">
        <v>2218.36794871795</v>
      </c>
      <c r="E135" s="14">
        <v>1054.55299145299</v>
      </c>
    </row>
    <row r="136" ht="15.75" spans="1:5">
      <c r="A136" s="12">
        <v>135</v>
      </c>
      <c r="B136" s="12">
        <v>3</v>
      </c>
      <c r="C136" s="13">
        <v>45548.3995245949</v>
      </c>
      <c r="D136" s="14">
        <v>2155.3858974359</v>
      </c>
      <c r="E136" s="14">
        <v>1096.54102564103</v>
      </c>
    </row>
    <row r="137" ht="15.75" spans="1:5">
      <c r="A137" s="12">
        <v>136</v>
      </c>
      <c r="B137" s="12">
        <v>3</v>
      </c>
      <c r="C137" s="13">
        <v>45548.3995824074</v>
      </c>
      <c r="D137" s="14">
        <v>1261.6405982906</v>
      </c>
      <c r="E137" s="14">
        <v>1306.4811965812</v>
      </c>
    </row>
    <row r="138" ht="15.75" spans="1:5">
      <c r="A138" s="12">
        <v>137</v>
      </c>
      <c r="B138" s="12">
        <v>3</v>
      </c>
      <c r="C138" s="13">
        <v>45548.3996402199</v>
      </c>
      <c r="D138" s="14">
        <v>1294.6311965812</v>
      </c>
      <c r="E138" s="14">
        <v>1135.52991452991</v>
      </c>
    </row>
    <row r="139" ht="15.75" spans="1:5">
      <c r="A139" s="12">
        <v>138</v>
      </c>
      <c r="B139" s="12">
        <v>3</v>
      </c>
      <c r="C139" s="13">
        <v>45548.3996980324</v>
      </c>
      <c r="D139" s="14">
        <v>1399.60128205128</v>
      </c>
      <c r="E139" s="14">
        <v>1081.5452991453</v>
      </c>
    </row>
    <row r="140" ht="15.75" spans="1:5">
      <c r="A140" s="12">
        <v>139</v>
      </c>
      <c r="B140" s="12">
        <v>3</v>
      </c>
      <c r="C140" s="13">
        <v>45548.3997558449</v>
      </c>
      <c r="D140" s="14">
        <v>1363.61153846154</v>
      </c>
      <c r="E140" s="14">
        <v>1045.55555555556</v>
      </c>
    </row>
    <row r="141" ht="15.75" spans="1:5">
      <c r="A141" s="12">
        <v>140</v>
      </c>
      <c r="B141" s="12">
        <v>3</v>
      </c>
      <c r="C141" s="13">
        <v>45548.3998136574</v>
      </c>
      <c r="D141" s="14">
        <v>1399.60128205128</v>
      </c>
      <c r="E141" s="14">
        <v>874.604273504274</v>
      </c>
    </row>
    <row r="142" ht="15.75" spans="1:5">
      <c r="A142" s="12">
        <v>141</v>
      </c>
      <c r="B142" s="12">
        <v>3</v>
      </c>
      <c r="C142" s="13">
        <v>45548.3998714699</v>
      </c>
      <c r="D142" s="14">
        <v>1375.60811965812</v>
      </c>
      <c r="E142" s="14">
        <v>634.672649572649</v>
      </c>
    </row>
    <row r="143" ht="15.75" spans="1:5">
      <c r="A143" s="12">
        <v>142</v>
      </c>
      <c r="B143" s="12">
        <v>3</v>
      </c>
      <c r="C143" s="13">
        <v>45548.3999292824</v>
      </c>
      <c r="D143" s="14">
        <v>1237.64743589744</v>
      </c>
      <c r="E143" s="14">
        <v>634.672649572649</v>
      </c>
    </row>
    <row r="144" ht="15.75" spans="1:5">
      <c r="A144" s="12">
        <v>143</v>
      </c>
      <c r="B144" s="12">
        <v>3</v>
      </c>
      <c r="C144" s="13">
        <v>45548.3999870949</v>
      </c>
      <c r="D144" s="14">
        <v>1249.64401709402</v>
      </c>
      <c r="E144" s="14">
        <v>511.707692307692</v>
      </c>
    </row>
    <row r="145" ht="15.75" spans="1:5">
      <c r="A145" s="12">
        <v>144</v>
      </c>
      <c r="B145" s="12">
        <v>3</v>
      </c>
      <c r="C145" s="13">
        <v>45548.4000449074</v>
      </c>
      <c r="D145" s="14">
        <v>1381.60641025641</v>
      </c>
      <c r="E145" s="14">
        <v>466.720512820513</v>
      </c>
    </row>
    <row r="146" ht="15.75" spans="1:5">
      <c r="A146" s="12">
        <v>145</v>
      </c>
      <c r="B146" s="12">
        <v>3</v>
      </c>
      <c r="C146" s="13">
        <v>45548.4001027199</v>
      </c>
      <c r="D146" s="14">
        <v>1264.63974358974</v>
      </c>
      <c r="E146" s="14">
        <v>421.733333333333</v>
      </c>
    </row>
    <row r="147" ht="15.75" spans="1:5">
      <c r="A147" s="12">
        <v>146</v>
      </c>
      <c r="B147" s="12">
        <v>3</v>
      </c>
      <c r="C147" s="13">
        <v>45548.4001605324</v>
      </c>
      <c r="D147" s="14">
        <v>1426.59358974359</v>
      </c>
      <c r="E147" s="14">
        <v>316.763247863248</v>
      </c>
    </row>
    <row r="148" ht="15.75" spans="1:5">
      <c r="A148" s="12">
        <v>147</v>
      </c>
      <c r="B148" s="12">
        <v>3</v>
      </c>
      <c r="C148" s="13">
        <v>45548.4002183449</v>
      </c>
      <c r="D148" s="14">
        <v>1525.56538461538</v>
      </c>
      <c r="E148" s="14">
        <v>286.771794871795</v>
      </c>
    </row>
    <row r="149" ht="15.75" spans="1:5">
      <c r="A149" s="12">
        <v>148</v>
      </c>
      <c r="B149" s="12">
        <v>3</v>
      </c>
      <c r="C149" s="13">
        <v>45548.4002761574</v>
      </c>
      <c r="D149" s="14">
        <v>1630.53547008547</v>
      </c>
      <c r="E149" s="14">
        <v>418.734188034188</v>
      </c>
    </row>
    <row r="150" ht="15.75" spans="1:5">
      <c r="A150" s="12">
        <v>149</v>
      </c>
      <c r="B150" s="12">
        <v>3</v>
      </c>
      <c r="C150" s="13">
        <v>45548.4003339699</v>
      </c>
      <c r="D150" s="14">
        <v>1771.4952991453</v>
      </c>
      <c r="E150" s="14">
        <v>331.758974358974</v>
      </c>
    </row>
    <row r="151" ht="15.75" spans="1:5">
      <c r="A151" s="12">
        <v>150</v>
      </c>
      <c r="B151" s="12">
        <v>3</v>
      </c>
      <c r="C151" s="13">
        <v>45548.4003917824</v>
      </c>
      <c r="D151" s="14">
        <v>2020.42435897436</v>
      </c>
      <c r="E151" s="14">
        <v>295.76923076923</v>
      </c>
    </row>
    <row r="152" ht="15.75" spans="1:5">
      <c r="A152" s="12">
        <v>151</v>
      </c>
      <c r="B152" s="12">
        <v>3</v>
      </c>
      <c r="C152" s="13">
        <v>45548.4004495949</v>
      </c>
      <c r="D152" s="14">
        <v>2284.34914529915</v>
      </c>
      <c r="E152" s="14">
        <v>394.741025641025</v>
      </c>
    </row>
    <row r="153" ht="15.75" spans="1:5">
      <c r="A153" s="12">
        <v>152</v>
      </c>
      <c r="B153" s="12">
        <v>3</v>
      </c>
      <c r="C153" s="13">
        <v>45548.4005074074</v>
      </c>
      <c r="D153" s="14">
        <v>2134.39188034188</v>
      </c>
      <c r="E153" s="14">
        <v>502.710256410256</v>
      </c>
    </row>
    <row r="154" ht="15.75" spans="1:5">
      <c r="A154" s="12">
        <v>153</v>
      </c>
      <c r="B154" s="12">
        <v>3</v>
      </c>
      <c r="C154" s="13">
        <v>45548.4005652199</v>
      </c>
      <c r="D154" s="14">
        <v>2182.37820512821</v>
      </c>
      <c r="E154" s="14">
        <v>508.708547008547</v>
      </c>
    </row>
    <row r="155" ht="15.75" spans="1:5">
      <c r="A155" s="12">
        <v>154</v>
      </c>
      <c r="B155" s="12">
        <v>3</v>
      </c>
      <c r="C155" s="13">
        <v>45548.4006230324</v>
      </c>
      <c r="D155" s="14">
        <v>2194.37478632479</v>
      </c>
      <c r="E155" s="14">
        <v>625.675213675214</v>
      </c>
    </row>
    <row r="156" ht="15.75" spans="1:5">
      <c r="A156" s="12">
        <v>155</v>
      </c>
      <c r="B156" s="12">
        <v>3</v>
      </c>
      <c r="C156" s="13">
        <v>45548.4006808449</v>
      </c>
      <c r="D156" s="14">
        <v>2146.38846153846</v>
      </c>
      <c r="E156" s="14">
        <v>649.668376068376</v>
      </c>
    </row>
    <row r="157" ht="15.75" spans="1:5">
      <c r="A157" s="12">
        <v>156</v>
      </c>
      <c r="B157" s="12">
        <v>3</v>
      </c>
      <c r="C157" s="13">
        <v>45548.4007386574</v>
      </c>
      <c r="D157" s="14">
        <v>2158.38504273504</v>
      </c>
      <c r="E157" s="14">
        <v>1282.48803418803</v>
      </c>
    </row>
    <row r="158" ht="15.75" spans="1:5">
      <c r="A158" s="12">
        <v>157</v>
      </c>
      <c r="B158" s="12">
        <v>3</v>
      </c>
      <c r="C158" s="13">
        <v>45548.4007964699</v>
      </c>
      <c r="D158" s="14">
        <v>2278.35085470086</v>
      </c>
      <c r="E158" s="14">
        <v>961.579487179487</v>
      </c>
    </row>
    <row r="159" ht="15.75" spans="1:5">
      <c r="A159" s="12">
        <v>158</v>
      </c>
      <c r="B159" s="12">
        <v>3</v>
      </c>
      <c r="C159" s="13">
        <v>45548.4008542824</v>
      </c>
      <c r="D159" s="14">
        <v>2266.35427350427</v>
      </c>
      <c r="E159" s="14">
        <v>1135.52991452991</v>
      </c>
    </row>
    <row r="160" ht="15.75" spans="1:5">
      <c r="A160" s="12">
        <v>159</v>
      </c>
      <c r="B160" s="12">
        <v>3</v>
      </c>
      <c r="C160" s="13">
        <v>45548.4009120949</v>
      </c>
      <c r="D160" s="14">
        <v>1900.45854700855</v>
      </c>
      <c r="E160" s="14">
        <v>910.594017094017</v>
      </c>
    </row>
    <row r="161" ht="15.75" spans="1:5">
      <c r="A161" s="12">
        <v>160</v>
      </c>
      <c r="B161" s="12">
        <v>3</v>
      </c>
      <c r="C161" s="13">
        <v>45548.4009699074</v>
      </c>
      <c r="D161" s="14">
        <v>1630.53547008547</v>
      </c>
      <c r="E161" s="14">
        <v>2209.22393162393</v>
      </c>
    </row>
    <row r="162" ht="15.75" spans="1:5">
      <c r="A162" s="12">
        <v>161</v>
      </c>
      <c r="B162" s="12">
        <v>4</v>
      </c>
      <c r="C162" s="13">
        <v>45548.3986574074</v>
      </c>
      <c r="D162" s="14">
        <v>1657.52777777778</v>
      </c>
      <c r="E162" s="14">
        <v>1855.32478632479</v>
      </c>
    </row>
    <row r="163" ht="15.75" spans="1:5">
      <c r="A163" s="12">
        <v>162</v>
      </c>
      <c r="B163" s="12">
        <v>4</v>
      </c>
      <c r="C163" s="13">
        <v>45548.3987152778</v>
      </c>
      <c r="D163" s="14">
        <v>1657.52777777778</v>
      </c>
      <c r="E163" s="14">
        <v>1633.38803418803</v>
      </c>
    </row>
    <row r="164" ht="15.75" spans="1:5">
      <c r="A164" s="12">
        <v>163</v>
      </c>
      <c r="B164" s="12">
        <v>4</v>
      </c>
      <c r="C164" s="13">
        <v>45548.3987731481</v>
      </c>
      <c r="D164" s="14">
        <v>1879.46452991453</v>
      </c>
      <c r="E164" s="14">
        <v>1636.38717948718</v>
      </c>
    </row>
    <row r="165" ht="15.75" spans="1:5">
      <c r="A165" s="12">
        <v>164</v>
      </c>
      <c r="B165" s="12">
        <v>4</v>
      </c>
      <c r="C165" s="13">
        <v>45548.3988308449</v>
      </c>
      <c r="D165" s="14">
        <v>1882.46367521368</v>
      </c>
      <c r="E165" s="14">
        <v>1678.37521367521</v>
      </c>
    </row>
    <row r="166" ht="15.75" spans="1:5">
      <c r="A166" s="12">
        <v>165</v>
      </c>
      <c r="B166" s="12">
        <v>4</v>
      </c>
      <c r="C166" s="13">
        <v>45548.3988886574</v>
      </c>
      <c r="D166" s="14">
        <v>1801.48675213675</v>
      </c>
      <c r="E166" s="14">
        <v>1570.40598290598</v>
      </c>
    </row>
    <row r="167" ht="15.75" spans="1:5">
      <c r="A167" s="12">
        <v>166</v>
      </c>
      <c r="B167" s="12">
        <v>4</v>
      </c>
      <c r="C167" s="13">
        <v>45548.3989464699</v>
      </c>
      <c r="D167" s="14">
        <v>1720.50982905983</v>
      </c>
      <c r="E167" s="14">
        <v>1510.42307692308</v>
      </c>
    </row>
    <row r="168" ht="15.75" spans="1:5">
      <c r="A168" s="12">
        <v>167</v>
      </c>
      <c r="B168" s="12">
        <v>4</v>
      </c>
      <c r="C168" s="13">
        <v>45548.3990042824</v>
      </c>
      <c r="D168" s="14">
        <v>1819.48162393162</v>
      </c>
      <c r="E168" s="14">
        <v>1195.51282051282</v>
      </c>
    </row>
    <row r="169" ht="15.75" spans="1:5">
      <c r="A169" s="12">
        <v>168</v>
      </c>
      <c r="B169" s="12">
        <v>4</v>
      </c>
      <c r="C169" s="13">
        <v>45548.3990620949</v>
      </c>
      <c r="D169" s="14">
        <v>1909.45598290598</v>
      </c>
      <c r="E169" s="14">
        <v>1162.52222222222</v>
      </c>
    </row>
    <row r="170" ht="15.75" spans="1:5">
      <c r="A170" s="12">
        <v>169</v>
      </c>
      <c r="B170" s="12">
        <v>4</v>
      </c>
      <c r="C170" s="13">
        <v>45548.3991199074</v>
      </c>
      <c r="D170" s="14">
        <v>1786.49102564103</v>
      </c>
      <c r="E170" s="14">
        <v>1120.53418803419</v>
      </c>
    </row>
    <row r="171" ht="15.75" spans="1:5">
      <c r="A171" s="12">
        <v>170</v>
      </c>
      <c r="B171" s="12">
        <v>4</v>
      </c>
      <c r="C171" s="13">
        <v>45548.3991777199</v>
      </c>
      <c r="D171" s="14">
        <v>1789.49017094017</v>
      </c>
      <c r="E171" s="14">
        <v>1069.54871794872</v>
      </c>
    </row>
    <row r="172" ht="15.75" spans="1:5">
      <c r="A172" s="12">
        <v>171</v>
      </c>
      <c r="B172" s="12">
        <v>4</v>
      </c>
      <c r="C172" s="13">
        <v>45548.3992355324</v>
      </c>
      <c r="D172" s="14">
        <v>1825.47991452992</v>
      </c>
      <c r="E172" s="14">
        <v>898.597435897436</v>
      </c>
    </row>
    <row r="173" ht="15.75" spans="1:5">
      <c r="A173" s="12">
        <v>172</v>
      </c>
      <c r="B173" s="12">
        <v>4</v>
      </c>
      <c r="C173" s="13">
        <v>45548.3992933449</v>
      </c>
      <c r="D173" s="14">
        <v>1885.46282051282</v>
      </c>
      <c r="E173" s="14">
        <v>856.609401709402</v>
      </c>
    </row>
    <row r="174" ht="15.75" spans="1:5">
      <c r="A174" s="12">
        <v>173</v>
      </c>
      <c r="B174" s="12">
        <v>4</v>
      </c>
      <c r="C174" s="13">
        <v>45548.3993511574</v>
      </c>
      <c r="D174" s="14">
        <v>1894.46025641026</v>
      </c>
      <c r="E174" s="14">
        <v>739.642735042735</v>
      </c>
    </row>
    <row r="175" ht="15.75" spans="1:5">
      <c r="A175" s="12">
        <v>174</v>
      </c>
      <c r="B175" s="12">
        <v>4</v>
      </c>
      <c r="C175" s="13">
        <v>45548.3994089699</v>
      </c>
      <c r="D175" s="14">
        <v>1786.49102564103</v>
      </c>
      <c r="E175" s="14">
        <v>598.682905982906</v>
      </c>
    </row>
    <row r="176" ht="15.75" spans="1:5">
      <c r="A176" s="12">
        <v>175</v>
      </c>
      <c r="B176" s="12">
        <v>4</v>
      </c>
      <c r="C176" s="13">
        <v>45548.3994667824</v>
      </c>
      <c r="D176" s="14">
        <v>1798.48760683761</v>
      </c>
      <c r="E176" s="14">
        <v>454.723931623932</v>
      </c>
    </row>
    <row r="177" ht="15.75" spans="1:5">
      <c r="A177" s="12">
        <v>176</v>
      </c>
      <c r="B177" s="12">
        <v>4</v>
      </c>
      <c r="C177" s="13">
        <v>45548.3995245949</v>
      </c>
      <c r="D177" s="14">
        <v>1414.59700854701</v>
      </c>
      <c r="E177" s="14">
        <v>280.773504273504</v>
      </c>
    </row>
    <row r="178" ht="15.75" spans="1:5">
      <c r="A178" s="12">
        <v>177</v>
      </c>
      <c r="B178" s="12">
        <v>4</v>
      </c>
      <c r="C178" s="13">
        <v>45548.3995824074</v>
      </c>
      <c r="D178" s="14">
        <v>1342.61752136752</v>
      </c>
      <c r="E178" s="14">
        <v>286.771794871795</v>
      </c>
    </row>
    <row r="179" ht="15.75" spans="1:5">
      <c r="A179" s="12">
        <v>178</v>
      </c>
      <c r="B179" s="12">
        <v>4</v>
      </c>
      <c r="C179" s="13">
        <v>45548.3996402199</v>
      </c>
      <c r="D179" s="14">
        <v>1363.61153846154</v>
      </c>
      <c r="E179" s="14">
        <v>523.704273504273</v>
      </c>
    </row>
    <row r="180" ht="15.75" spans="1:5">
      <c r="A180" s="12">
        <v>179</v>
      </c>
      <c r="B180" s="12">
        <v>4</v>
      </c>
      <c r="C180" s="13">
        <v>45548.3996980324</v>
      </c>
      <c r="D180" s="14">
        <v>1297.63034188034</v>
      </c>
      <c r="E180" s="14">
        <v>442.72735042735</v>
      </c>
    </row>
    <row r="181" ht="15.75" spans="1:5">
      <c r="A181" s="12">
        <v>180</v>
      </c>
      <c r="B181" s="12">
        <v>4</v>
      </c>
      <c r="C181" s="13">
        <v>45548.3997558449</v>
      </c>
      <c r="D181" s="14">
        <v>1267.63888888889</v>
      </c>
      <c r="E181" s="14">
        <v>301.767521367521</v>
      </c>
    </row>
    <row r="182" ht="15.75" spans="1:5">
      <c r="A182" s="12">
        <v>181</v>
      </c>
      <c r="B182" s="12">
        <v>4</v>
      </c>
      <c r="C182" s="13">
        <v>45548.3998136574</v>
      </c>
      <c r="D182" s="14">
        <v>1207.65598290598</v>
      </c>
      <c r="E182" s="14">
        <v>304.766666666666</v>
      </c>
    </row>
    <row r="183" ht="15.75" spans="1:5">
      <c r="A183" s="12">
        <v>182</v>
      </c>
      <c r="B183" s="12">
        <v>4</v>
      </c>
      <c r="C183" s="13">
        <v>45548.3998714699</v>
      </c>
      <c r="D183" s="14">
        <v>1264.63974358974</v>
      </c>
      <c r="E183" s="14">
        <v>505.709401709401</v>
      </c>
    </row>
    <row r="184" ht="15.75" spans="1:5">
      <c r="A184" s="12">
        <v>183</v>
      </c>
      <c r="B184" s="12">
        <v>4</v>
      </c>
      <c r="C184" s="13">
        <v>45548.3999292824</v>
      </c>
      <c r="D184" s="14">
        <v>1378.60726495726</v>
      </c>
      <c r="E184" s="14">
        <v>628.674358974359</v>
      </c>
    </row>
    <row r="185" ht="15.75" spans="1:5">
      <c r="A185" s="12">
        <v>184</v>
      </c>
      <c r="B185" s="12">
        <v>4</v>
      </c>
      <c r="C185" s="13">
        <v>45548.3999870949</v>
      </c>
      <c r="D185" s="14">
        <v>1384.60555555556</v>
      </c>
      <c r="E185" s="14">
        <v>700.653846153846</v>
      </c>
    </row>
    <row r="186" ht="15.75" spans="1:5">
      <c r="A186" s="12">
        <v>185</v>
      </c>
      <c r="B186" s="12">
        <v>4</v>
      </c>
      <c r="C186" s="13">
        <v>45548.4000449074</v>
      </c>
      <c r="D186" s="14">
        <v>1330.62094017094</v>
      </c>
      <c r="E186" s="14">
        <v>661.664957264957</v>
      </c>
    </row>
    <row r="187" ht="15.75" spans="1:5">
      <c r="A187" s="12">
        <v>186</v>
      </c>
      <c r="B187" s="12">
        <v>4</v>
      </c>
      <c r="C187" s="13">
        <v>45548.4001027199</v>
      </c>
      <c r="D187" s="14">
        <v>1387.6047008547</v>
      </c>
      <c r="E187" s="14">
        <v>757.637606837607</v>
      </c>
    </row>
    <row r="188" ht="15.75" spans="1:5">
      <c r="A188" s="12">
        <v>187</v>
      </c>
      <c r="B188" s="12">
        <v>4</v>
      </c>
      <c r="C188" s="13">
        <v>45548.4001605324</v>
      </c>
      <c r="D188" s="14">
        <v>1333.62008547009</v>
      </c>
      <c r="E188" s="14">
        <v>760.636752136752</v>
      </c>
    </row>
    <row r="189" ht="15.75" spans="1:5">
      <c r="A189" s="12">
        <v>188</v>
      </c>
      <c r="B189" s="12">
        <v>4</v>
      </c>
      <c r="C189" s="13">
        <v>45548.4002183449</v>
      </c>
      <c r="D189" s="14">
        <v>1399.60128205128</v>
      </c>
      <c r="E189" s="14">
        <v>904.595726495726</v>
      </c>
    </row>
    <row r="190" ht="15.75" spans="1:5">
      <c r="A190" s="12">
        <v>189</v>
      </c>
      <c r="B190" s="12">
        <v>4</v>
      </c>
      <c r="C190" s="13">
        <v>45548.4002761574</v>
      </c>
      <c r="D190" s="14">
        <v>1408.59871794872</v>
      </c>
      <c r="E190" s="14">
        <v>961.579487179487</v>
      </c>
    </row>
    <row r="191" ht="15.75" spans="1:5">
      <c r="A191" s="12">
        <v>190</v>
      </c>
      <c r="B191" s="12">
        <v>4</v>
      </c>
      <c r="C191" s="13">
        <v>45548.4003339699</v>
      </c>
      <c r="D191" s="14">
        <v>1306.62777777778</v>
      </c>
      <c r="E191" s="14">
        <v>1021.56239316239</v>
      </c>
    </row>
    <row r="192" ht="15.75" spans="1:5">
      <c r="A192" s="12">
        <v>191</v>
      </c>
      <c r="B192" s="12">
        <v>4</v>
      </c>
      <c r="C192" s="13">
        <v>45548.4003917824</v>
      </c>
      <c r="D192" s="14">
        <v>1375.60811965812</v>
      </c>
      <c r="E192" s="14">
        <v>1021.56239316239</v>
      </c>
    </row>
    <row r="193" ht="15.75" spans="1:5">
      <c r="A193" s="12">
        <v>192</v>
      </c>
      <c r="B193" s="12">
        <v>4</v>
      </c>
      <c r="C193" s="13">
        <v>45548.4004495949</v>
      </c>
      <c r="D193" s="14">
        <v>1405.59957264957</v>
      </c>
      <c r="E193" s="14">
        <v>1045.55555555556</v>
      </c>
    </row>
    <row r="194" ht="15.75" spans="1:5">
      <c r="A194" s="12">
        <v>193</v>
      </c>
      <c r="B194" s="12">
        <v>4</v>
      </c>
      <c r="C194" s="13">
        <v>45548.4005074074</v>
      </c>
      <c r="D194" s="14">
        <v>1390.60384615385</v>
      </c>
      <c r="E194" s="14">
        <v>1162.52222222222</v>
      </c>
    </row>
    <row r="195" ht="15.75" spans="1:5">
      <c r="A195" s="12">
        <v>194</v>
      </c>
      <c r="B195" s="12">
        <v>4</v>
      </c>
      <c r="C195" s="13">
        <v>45548.4005652199</v>
      </c>
      <c r="D195" s="14">
        <v>1333.62008547009</v>
      </c>
      <c r="E195" s="14">
        <v>1153.52478632479</v>
      </c>
    </row>
    <row r="196" ht="15.75" spans="1:5">
      <c r="A196" s="12">
        <v>195</v>
      </c>
      <c r="B196" s="12">
        <v>4</v>
      </c>
      <c r="C196" s="13">
        <v>45548.4006230324</v>
      </c>
      <c r="D196" s="14">
        <v>1261.6405982906</v>
      </c>
      <c r="E196" s="14">
        <v>1150.52564102564</v>
      </c>
    </row>
    <row r="197" ht="15.75" spans="1:5">
      <c r="A197" s="12">
        <v>196</v>
      </c>
      <c r="B197" s="12">
        <v>4</v>
      </c>
      <c r="C197" s="13">
        <v>45548.4006808449</v>
      </c>
      <c r="D197" s="14">
        <v>1192.66025641026</v>
      </c>
      <c r="E197" s="14">
        <v>1162.52222222222</v>
      </c>
    </row>
    <row r="198" ht="15.75" spans="1:5">
      <c r="A198" s="12">
        <v>197</v>
      </c>
      <c r="B198" s="12">
        <v>4</v>
      </c>
      <c r="C198" s="13">
        <v>45548.4007386574</v>
      </c>
      <c r="D198" s="14">
        <v>1207.65598290598</v>
      </c>
      <c r="E198" s="14">
        <v>1234.50170940171</v>
      </c>
    </row>
    <row r="199" ht="15.75" spans="1:5">
      <c r="A199" s="12">
        <v>198</v>
      </c>
      <c r="B199" s="12">
        <v>4</v>
      </c>
      <c r="C199" s="13">
        <v>45548.4007964699</v>
      </c>
      <c r="D199" s="14">
        <v>1300.62948717949</v>
      </c>
      <c r="E199" s="14">
        <v>1276.48974358974</v>
      </c>
    </row>
    <row r="200" ht="15.75" spans="1:5">
      <c r="A200" s="12">
        <v>199</v>
      </c>
      <c r="B200" s="12">
        <v>4</v>
      </c>
      <c r="C200" s="13">
        <v>45548.4008542824</v>
      </c>
      <c r="D200" s="14">
        <v>1390.60384615385</v>
      </c>
      <c r="E200" s="14">
        <v>1225.50427350427</v>
      </c>
    </row>
    <row r="201" ht="15.75" spans="1:5">
      <c r="A201" s="12">
        <v>200</v>
      </c>
      <c r="B201" s="12">
        <v>4</v>
      </c>
      <c r="C201" s="13">
        <v>45548.4009120949</v>
      </c>
      <c r="D201" s="14">
        <v>1570.55256410256</v>
      </c>
      <c r="E201" s="14">
        <v>1288.48632478632</v>
      </c>
    </row>
    <row r="202" ht="15.75" spans="1:5">
      <c r="A202" s="12">
        <v>201</v>
      </c>
      <c r="B202" s="12">
        <v>4</v>
      </c>
      <c r="C202" s="13">
        <v>45548.4009699074</v>
      </c>
      <c r="D202" s="14">
        <v>1795.48846153846</v>
      </c>
      <c r="E202" s="14">
        <v>1294.48461538462</v>
      </c>
    </row>
    <row r="203" ht="15.75" spans="1:5">
      <c r="A203" s="12">
        <v>202</v>
      </c>
      <c r="B203" s="12">
        <v>4</v>
      </c>
      <c r="C203" s="13">
        <v>45548.4010277199</v>
      </c>
      <c r="D203" s="14">
        <v>2125.39444444445</v>
      </c>
      <c r="E203" s="14">
        <v>1240.5</v>
      </c>
    </row>
    <row r="204" ht="15.75" spans="1:5">
      <c r="A204" s="12">
        <v>203</v>
      </c>
      <c r="B204" s="12">
        <v>4</v>
      </c>
      <c r="C204" s="13">
        <v>45548.4010855324</v>
      </c>
      <c r="D204" s="14">
        <v>2344.33205128205</v>
      </c>
      <c r="E204" s="14">
        <v>1237.50085470085</v>
      </c>
    </row>
    <row r="205" ht="15.75" spans="1:5">
      <c r="A205" s="12">
        <v>204</v>
      </c>
      <c r="B205" s="12">
        <v>4</v>
      </c>
      <c r="C205" s="13">
        <v>45548.4011433449</v>
      </c>
      <c r="D205" s="14">
        <v>2347.3311965812</v>
      </c>
      <c r="E205" s="14">
        <v>1273.4905982906</v>
      </c>
    </row>
    <row r="206" ht="15.75" spans="1:5">
      <c r="A206" s="12">
        <v>205</v>
      </c>
      <c r="B206" s="12">
        <v>4</v>
      </c>
      <c r="C206" s="13">
        <v>45548.4012011574</v>
      </c>
      <c r="D206" s="14">
        <v>2353.32948717949</v>
      </c>
      <c r="E206" s="14">
        <v>1318.47777777778</v>
      </c>
    </row>
    <row r="207" ht="15.75" spans="1:5">
      <c r="A207" s="12">
        <v>206</v>
      </c>
      <c r="B207" s="12">
        <v>4</v>
      </c>
      <c r="C207" s="13">
        <v>45548.4012589699</v>
      </c>
      <c r="D207" s="14">
        <v>2257.35683760684</v>
      </c>
      <c r="E207" s="14">
        <v>1156.52393162393</v>
      </c>
    </row>
    <row r="208" ht="15.75" spans="1:5">
      <c r="A208" s="12">
        <v>207</v>
      </c>
      <c r="B208" s="12">
        <v>4</v>
      </c>
      <c r="C208" s="13">
        <v>45548.4013167824</v>
      </c>
      <c r="D208" s="14">
        <v>2161.38418803419</v>
      </c>
      <c r="E208" s="14">
        <v>1153.52478632479</v>
      </c>
    </row>
    <row r="209" ht="15.75" spans="1:5">
      <c r="A209" s="12">
        <v>208</v>
      </c>
      <c r="B209" s="12">
        <v>4</v>
      </c>
      <c r="C209" s="13">
        <v>45548.4013745949</v>
      </c>
      <c r="D209" s="14">
        <v>2119.39615384615</v>
      </c>
      <c r="E209" s="14">
        <v>1174.5188034188</v>
      </c>
    </row>
    <row r="210" ht="15.75" spans="1:5">
      <c r="A210" s="12">
        <v>209</v>
      </c>
      <c r="B210" s="12">
        <v>4</v>
      </c>
      <c r="C210" s="13">
        <v>45548.4014324074</v>
      </c>
      <c r="D210" s="14">
        <v>2332.33547008547</v>
      </c>
      <c r="E210" s="14">
        <v>1090.54273504274</v>
      </c>
    </row>
    <row r="211" ht="15.75" spans="1:5">
      <c r="A211" s="12">
        <v>210</v>
      </c>
      <c r="B211" s="12">
        <v>4</v>
      </c>
      <c r="C211" s="13">
        <v>45548.4014902199</v>
      </c>
      <c r="D211" s="14">
        <v>2320.33888888889</v>
      </c>
      <c r="E211" s="14">
        <v>955.581196581197</v>
      </c>
    </row>
    <row r="212" ht="15.75" spans="1:5">
      <c r="A212" s="12">
        <v>211</v>
      </c>
      <c r="B212" s="12">
        <v>4</v>
      </c>
      <c r="C212" s="13">
        <v>45548.4015480324</v>
      </c>
      <c r="D212" s="14">
        <v>2386.32008547009</v>
      </c>
      <c r="E212" s="14">
        <v>667.663247863248</v>
      </c>
    </row>
    <row r="213" ht="15.75" spans="1:5">
      <c r="A213" s="12">
        <v>212</v>
      </c>
      <c r="B213" s="12">
        <v>4</v>
      </c>
      <c r="C213" s="13">
        <v>45548.4016058449</v>
      </c>
      <c r="D213" s="14">
        <v>2299.34487179487</v>
      </c>
      <c r="E213" s="14">
        <v>628.674358974359</v>
      </c>
    </row>
    <row r="214" ht="15.75" spans="1:5">
      <c r="A214" s="12">
        <v>213</v>
      </c>
      <c r="B214" s="12">
        <v>4</v>
      </c>
      <c r="C214" s="13">
        <v>45548.4016636574</v>
      </c>
      <c r="D214" s="14">
        <v>2296.34572649573</v>
      </c>
      <c r="E214" s="14">
        <v>553.695726495726</v>
      </c>
    </row>
    <row r="215" ht="15.75" spans="1:5">
      <c r="A215" s="12">
        <v>214</v>
      </c>
      <c r="B215" s="12">
        <v>4</v>
      </c>
      <c r="C215" s="13">
        <v>45548.4017214699</v>
      </c>
      <c r="D215" s="14">
        <v>2128.39358974359</v>
      </c>
      <c r="E215" s="14">
        <v>514.706837606837</v>
      </c>
    </row>
    <row r="216" ht="15.75" spans="1:5">
      <c r="A216" s="12">
        <v>215</v>
      </c>
      <c r="B216" s="12">
        <v>4</v>
      </c>
      <c r="C216" s="13">
        <v>45548.4017792824</v>
      </c>
      <c r="D216" s="14">
        <v>2125.39444444445</v>
      </c>
      <c r="E216" s="14">
        <v>472.718803418803</v>
      </c>
    </row>
    <row r="217" ht="15.75" spans="1:5">
      <c r="A217" s="12">
        <v>216</v>
      </c>
      <c r="B217" s="12">
        <v>4</v>
      </c>
      <c r="C217" s="13">
        <v>45548.4018370949</v>
      </c>
      <c r="D217" s="14">
        <v>2329.33632478633</v>
      </c>
      <c r="E217" s="14">
        <v>364.749572649573</v>
      </c>
    </row>
    <row r="218" ht="15.75" spans="1:5">
      <c r="A218" s="12">
        <v>217</v>
      </c>
      <c r="B218" s="12">
        <v>4</v>
      </c>
      <c r="C218" s="13">
        <v>45548.4018949074</v>
      </c>
      <c r="D218" s="14">
        <v>2242.36111111111</v>
      </c>
      <c r="E218" s="14">
        <v>316.763247863248</v>
      </c>
    </row>
    <row r="219" ht="15.75" spans="1:5">
      <c r="A219" s="12">
        <v>218</v>
      </c>
      <c r="B219" s="12">
        <v>4</v>
      </c>
      <c r="C219" s="13">
        <v>45548.4019527199</v>
      </c>
      <c r="D219" s="14">
        <v>1744.50299145299</v>
      </c>
      <c r="E219" s="14">
        <v>1135.52991452991</v>
      </c>
    </row>
    <row r="220" ht="15.75" spans="1:5">
      <c r="A220" s="12">
        <v>219</v>
      </c>
      <c r="B220" s="12">
        <v>4</v>
      </c>
      <c r="C220" s="13">
        <v>45548.4020105324</v>
      </c>
      <c r="D220" s="14">
        <v>1828.47905982906</v>
      </c>
      <c r="E220" s="14">
        <v>1636.38717948718</v>
      </c>
    </row>
    <row r="221" ht="15.75" spans="1:5">
      <c r="A221" s="12">
        <v>220</v>
      </c>
      <c r="B221" s="12">
        <v>5</v>
      </c>
      <c r="C221" s="13">
        <v>45548.3986574074</v>
      </c>
      <c r="D221" s="14">
        <v>1885.46282051282</v>
      </c>
      <c r="E221" s="14">
        <v>2191.22905982906</v>
      </c>
    </row>
    <row r="222" ht="15.75" spans="1:5">
      <c r="A222" s="12">
        <v>221</v>
      </c>
      <c r="B222" s="12">
        <v>5</v>
      </c>
      <c r="C222" s="13">
        <v>45548.3987152778</v>
      </c>
      <c r="D222" s="14">
        <v>1870.46709401709</v>
      </c>
      <c r="E222" s="14">
        <v>1786.34444444445</v>
      </c>
    </row>
    <row r="223" ht="15.75" spans="1:5">
      <c r="A223" s="12">
        <v>222</v>
      </c>
      <c r="B223" s="12">
        <v>5</v>
      </c>
      <c r="C223" s="13">
        <v>45548.3987731481</v>
      </c>
      <c r="D223" s="14">
        <v>1825.47991452992</v>
      </c>
      <c r="E223" s="14">
        <v>1267.49230769231</v>
      </c>
    </row>
    <row r="224" ht="15.75" spans="1:5">
      <c r="A224" s="12">
        <v>223</v>
      </c>
      <c r="B224" s="12">
        <v>5</v>
      </c>
      <c r="C224" s="13">
        <v>45548.3988308449</v>
      </c>
      <c r="D224" s="14">
        <v>1696.51666666667</v>
      </c>
      <c r="E224" s="14">
        <v>1255.49572649573</v>
      </c>
    </row>
    <row r="225" ht="15.75" spans="1:5">
      <c r="A225" s="12">
        <v>224</v>
      </c>
      <c r="B225" s="12">
        <v>5</v>
      </c>
      <c r="C225" s="13">
        <v>45548.3988886574</v>
      </c>
      <c r="D225" s="14">
        <v>1378.60726495726</v>
      </c>
      <c r="E225" s="14">
        <v>1327.47521367521</v>
      </c>
    </row>
    <row r="226" ht="15.75" spans="1:5">
      <c r="A226" s="12">
        <v>225</v>
      </c>
      <c r="B226" s="12">
        <v>5</v>
      </c>
      <c r="C226" s="13">
        <v>45548.3989464699</v>
      </c>
      <c r="D226" s="14">
        <v>1324.62264957265</v>
      </c>
      <c r="E226" s="14">
        <v>1216.50683760684</v>
      </c>
    </row>
    <row r="227" ht="15.75" spans="1:5">
      <c r="A227" s="12">
        <v>226</v>
      </c>
      <c r="B227" s="12">
        <v>5</v>
      </c>
      <c r="C227" s="13">
        <v>45548.3990042824</v>
      </c>
      <c r="D227" s="14">
        <v>1378.60726495726</v>
      </c>
      <c r="E227" s="14">
        <v>1105.53846153846</v>
      </c>
    </row>
    <row r="228" ht="15.75" spans="1:5">
      <c r="A228" s="12">
        <v>227</v>
      </c>
      <c r="B228" s="12">
        <v>5</v>
      </c>
      <c r="C228" s="13">
        <v>45548.3990620949</v>
      </c>
      <c r="D228" s="14">
        <v>1387.6047008547</v>
      </c>
      <c r="E228" s="14">
        <v>628.674358974359</v>
      </c>
    </row>
    <row r="229" ht="15.75" spans="1:5">
      <c r="A229" s="12">
        <v>228</v>
      </c>
      <c r="B229" s="12">
        <v>5</v>
      </c>
      <c r="C229" s="13">
        <v>45548.3991199074</v>
      </c>
      <c r="D229" s="14">
        <v>1282.63461538462</v>
      </c>
      <c r="E229" s="14">
        <v>634.672649572649</v>
      </c>
    </row>
    <row r="230" ht="15.75" spans="1:5">
      <c r="A230" s="12">
        <v>229</v>
      </c>
      <c r="B230" s="12">
        <v>5</v>
      </c>
      <c r="C230" s="13">
        <v>45548.3991777199</v>
      </c>
      <c r="D230" s="14">
        <v>1168.66709401709</v>
      </c>
      <c r="E230" s="14">
        <v>697.654700854701</v>
      </c>
    </row>
    <row r="231" ht="15.75" spans="1:5">
      <c r="A231" s="12">
        <v>230</v>
      </c>
      <c r="B231" s="12">
        <v>5</v>
      </c>
      <c r="C231" s="13">
        <v>45548.3992355324</v>
      </c>
      <c r="D231" s="14">
        <v>2251.35854700855</v>
      </c>
      <c r="E231" s="14">
        <v>328.759829059829</v>
      </c>
    </row>
    <row r="232" ht="15.75" spans="1:5">
      <c r="A232" s="12">
        <v>231</v>
      </c>
      <c r="B232" s="12">
        <v>5</v>
      </c>
      <c r="C232" s="13">
        <v>45548.3992933449</v>
      </c>
      <c r="D232" s="14">
        <v>2167.38247863248</v>
      </c>
      <c r="E232" s="14">
        <v>949.582905982906</v>
      </c>
    </row>
    <row r="233" ht="15.75" spans="1:5">
      <c r="A233" s="12">
        <v>232</v>
      </c>
      <c r="B233" s="12">
        <v>5</v>
      </c>
      <c r="C233" s="13">
        <v>45548.3993511574</v>
      </c>
      <c r="D233" s="14">
        <v>2221.3670940171</v>
      </c>
      <c r="E233" s="14">
        <v>955.581196581197</v>
      </c>
    </row>
    <row r="234" ht="15.75" spans="1:5">
      <c r="A234" s="12">
        <v>233</v>
      </c>
      <c r="B234" s="12">
        <v>5</v>
      </c>
      <c r="C234" s="13">
        <v>45548.3994089699</v>
      </c>
      <c r="D234" s="14">
        <v>2371.32435897436</v>
      </c>
      <c r="E234" s="14">
        <v>937.586324786325</v>
      </c>
    </row>
    <row r="235" ht="15.75" spans="1:5">
      <c r="A235" s="12">
        <v>234</v>
      </c>
      <c r="B235" s="12">
        <v>5</v>
      </c>
      <c r="C235" s="13">
        <v>45548.3994667824</v>
      </c>
      <c r="D235" s="14">
        <v>2329.33632478633</v>
      </c>
      <c r="E235" s="14">
        <v>1096.54102564103</v>
      </c>
    </row>
    <row r="236" ht="15.75" spans="1:5">
      <c r="A236" s="12">
        <v>235</v>
      </c>
      <c r="B236" s="12">
        <v>5</v>
      </c>
      <c r="C236" s="13">
        <v>45548.3995245949</v>
      </c>
      <c r="D236" s="14">
        <v>2233.36367521368</v>
      </c>
      <c r="E236" s="14">
        <v>1096.54102564103</v>
      </c>
    </row>
    <row r="237" ht="15.75" spans="1:5">
      <c r="A237" s="12">
        <v>236</v>
      </c>
      <c r="B237" s="12">
        <v>5</v>
      </c>
      <c r="C237" s="13">
        <v>45548.3995824074</v>
      </c>
      <c r="D237" s="14">
        <v>2167.38247863248</v>
      </c>
      <c r="E237" s="14">
        <v>1141.52820512821</v>
      </c>
    </row>
    <row r="238" ht="15.75" spans="1:5">
      <c r="A238" s="12">
        <v>237</v>
      </c>
      <c r="B238" s="12">
        <v>5</v>
      </c>
      <c r="C238" s="13">
        <v>45548.3996402199</v>
      </c>
      <c r="D238" s="14">
        <v>2209.37051282051</v>
      </c>
      <c r="E238" s="14">
        <v>1150.52564102564</v>
      </c>
    </row>
    <row r="239" ht="15.75" spans="1:5">
      <c r="A239" s="12">
        <v>238</v>
      </c>
      <c r="B239" s="12">
        <v>5</v>
      </c>
      <c r="C239" s="13">
        <v>45548.3996980324</v>
      </c>
      <c r="D239" s="14">
        <v>2272.35256410256</v>
      </c>
      <c r="E239" s="14">
        <v>1153.52478632479</v>
      </c>
    </row>
    <row r="240" ht="15.75" spans="1:5">
      <c r="A240" s="12">
        <v>239</v>
      </c>
      <c r="B240" s="12">
        <v>5</v>
      </c>
      <c r="C240" s="13">
        <v>45548.3997558449</v>
      </c>
      <c r="D240" s="14">
        <v>2344.33205128205</v>
      </c>
      <c r="E240" s="14">
        <v>1228.50341880342</v>
      </c>
    </row>
    <row r="241" ht="15.75" spans="1:5">
      <c r="A241" s="12">
        <v>240</v>
      </c>
      <c r="B241" s="12">
        <v>5</v>
      </c>
      <c r="C241" s="13">
        <v>45548.3998136574</v>
      </c>
      <c r="D241" s="14">
        <v>2281.35</v>
      </c>
      <c r="E241" s="14">
        <v>1279.48888888889</v>
      </c>
    </row>
    <row r="242" ht="15.75" spans="1:5">
      <c r="A242" s="12">
        <v>241</v>
      </c>
      <c r="B242" s="12">
        <v>5</v>
      </c>
      <c r="C242" s="13">
        <v>45548.3998714699</v>
      </c>
      <c r="D242" s="14">
        <v>2344.33205128205</v>
      </c>
      <c r="E242" s="14">
        <v>1282.48803418803</v>
      </c>
    </row>
    <row r="243" ht="15.75" spans="1:5">
      <c r="A243" s="12">
        <v>242</v>
      </c>
      <c r="B243" s="12">
        <v>5</v>
      </c>
      <c r="C243" s="13">
        <v>45548.3999292824</v>
      </c>
      <c r="D243" s="14">
        <v>2251.35854700855</v>
      </c>
      <c r="E243" s="14">
        <v>1255.49572649573</v>
      </c>
    </row>
    <row r="244" ht="15.75" spans="1:5">
      <c r="A244" s="12">
        <v>243</v>
      </c>
      <c r="B244" s="12">
        <v>5</v>
      </c>
      <c r="C244" s="13">
        <v>45548.3999870949</v>
      </c>
      <c r="D244" s="14">
        <v>2194.37478632479</v>
      </c>
      <c r="E244" s="14">
        <v>1246.49829059829</v>
      </c>
    </row>
    <row r="245" ht="15.75" spans="1:5">
      <c r="A245" s="12">
        <v>244</v>
      </c>
      <c r="B245" s="12">
        <v>5</v>
      </c>
      <c r="C245" s="13">
        <v>45548.4000449074</v>
      </c>
      <c r="D245" s="14">
        <v>2137.39102564103</v>
      </c>
      <c r="E245" s="14">
        <v>1033.55897435897</v>
      </c>
    </row>
    <row r="246" ht="15.75" spans="1:5">
      <c r="A246" s="12">
        <v>245</v>
      </c>
      <c r="B246" s="12">
        <v>5</v>
      </c>
      <c r="C246" s="13">
        <v>45548.4001027199</v>
      </c>
      <c r="D246" s="14">
        <v>2182.37820512821</v>
      </c>
      <c r="E246" s="14">
        <v>751.639316239316</v>
      </c>
    </row>
    <row r="247" ht="15.75" spans="1:5">
      <c r="A247" s="12">
        <v>246</v>
      </c>
      <c r="B247" s="12">
        <v>5</v>
      </c>
      <c r="C247" s="13">
        <v>45548.4001605324</v>
      </c>
      <c r="D247" s="14">
        <v>2191.37564102564</v>
      </c>
      <c r="E247" s="14">
        <v>646.669230769231</v>
      </c>
    </row>
    <row r="248" ht="15.75" spans="1:5">
      <c r="A248" s="12">
        <v>247</v>
      </c>
      <c r="B248" s="12">
        <v>5</v>
      </c>
      <c r="C248" s="13">
        <v>45548.4002183449</v>
      </c>
      <c r="D248" s="14">
        <v>2200.37307692308</v>
      </c>
      <c r="E248" s="14">
        <v>583.687179487179</v>
      </c>
    </row>
    <row r="249" ht="15.75" spans="1:5">
      <c r="A249" s="12">
        <v>248</v>
      </c>
      <c r="B249" s="12">
        <v>5</v>
      </c>
      <c r="C249" s="13">
        <v>45548.4002761574</v>
      </c>
      <c r="D249" s="14">
        <v>2245.36025641026</v>
      </c>
      <c r="E249" s="14">
        <v>613.678632478632</v>
      </c>
    </row>
    <row r="250" ht="15.75" spans="1:5">
      <c r="A250" s="12">
        <v>249</v>
      </c>
      <c r="B250" s="12">
        <v>5</v>
      </c>
      <c r="C250" s="13">
        <v>45548.4003339699</v>
      </c>
      <c r="D250" s="14">
        <v>2236.36282051282</v>
      </c>
      <c r="E250" s="14">
        <v>508.708547008547</v>
      </c>
    </row>
    <row r="251" ht="15.75" spans="1:5">
      <c r="A251" s="12">
        <v>250</v>
      </c>
      <c r="B251" s="12">
        <v>5</v>
      </c>
      <c r="C251" s="13">
        <v>45548.4003917824</v>
      </c>
      <c r="D251" s="14">
        <v>2176.37991452992</v>
      </c>
      <c r="E251" s="14">
        <v>457.723076923077</v>
      </c>
    </row>
    <row r="252" ht="15.75" spans="1:5">
      <c r="A252" s="12">
        <v>251</v>
      </c>
      <c r="B252" s="12">
        <v>5</v>
      </c>
      <c r="C252" s="13">
        <v>45548.4004495949</v>
      </c>
      <c r="D252" s="14">
        <v>2143.38931623932</v>
      </c>
      <c r="E252" s="14">
        <v>517.705982905983</v>
      </c>
    </row>
    <row r="253" ht="15.75" spans="1:5">
      <c r="A253" s="12">
        <v>252</v>
      </c>
      <c r="B253" s="12">
        <v>5</v>
      </c>
      <c r="C253" s="13">
        <v>45548.4005074074</v>
      </c>
      <c r="D253" s="14">
        <v>2119.39615384615</v>
      </c>
      <c r="E253" s="14">
        <v>442.72735042735</v>
      </c>
    </row>
    <row r="254" ht="15.75" spans="1:5">
      <c r="A254" s="12">
        <v>253</v>
      </c>
      <c r="B254" s="12">
        <v>5</v>
      </c>
      <c r="C254" s="13">
        <v>45548.4005652199</v>
      </c>
      <c r="D254" s="14">
        <v>2272.35256410256</v>
      </c>
      <c r="E254" s="14">
        <v>355.752136752137</v>
      </c>
    </row>
    <row r="255" ht="15.75" spans="1:5">
      <c r="A255" s="12">
        <v>254</v>
      </c>
      <c r="B255" s="12">
        <v>5</v>
      </c>
      <c r="C255" s="13">
        <v>45548.4006230324</v>
      </c>
      <c r="D255" s="14">
        <v>2176.37991452992</v>
      </c>
      <c r="E255" s="14">
        <v>304.766666666666</v>
      </c>
    </row>
    <row r="256" ht="15.75" spans="1:5">
      <c r="A256" s="12">
        <v>255</v>
      </c>
      <c r="B256" s="12">
        <v>5</v>
      </c>
      <c r="C256" s="13">
        <v>45548.4006808449</v>
      </c>
      <c r="D256" s="14">
        <v>1987.43376068376</v>
      </c>
      <c r="E256" s="14">
        <v>301.767521367521</v>
      </c>
    </row>
    <row r="257" ht="15.75" spans="1:5">
      <c r="A257" s="12">
        <v>256</v>
      </c>
      <c r="B257" s="12">
        <v>5</v>
      </c>
      <c r="C257" s="13">
        <v>45548.4007386574</v>
      </c>
      <c r="D257" s="14">
        <v>1915.45427350427</v>
      </c>
      <c r="E257" s="14">
        <v>382.744444444444</v>
      </c>
    </row>
    <row r="258" ht="15.75" spans="1:5">
      <c r="A258" s="12">
        <v>257</v>
      </c>
      <c r="B258" s="12">
        <v>5</v>
      </c>
      <c r="C258" s="13">
        <v>45548.4007964699</v>
      </c>
      <c r="D258" s="14">
        <v>1897.4594017094</v>
      </c>
      <c r="E258" s="14">
        <v>430.730769230769</v>
      </c>
    </row>
    <row r="259" ht="15.75" spans="1:5">
      <c r="A259" s="12">
        <v>258</v>
      </c>
      <c r="B259" s="12">
        <v>5</v>
      </c>
      <c r="C259" s="13">
        <v>45548.4008542824</v>
      </c>
      <c r="D259" s="14">
        <v>1861.46965811966</v>
      </c>
      <c r="E259" s="14">
        <v>382.744444444444</v>
      </c>
    </row>
    <row r="260" ht="15.75" spans="1:5">
      <c r="A260" s="12">
        <v>259</v>
      </c>
      <c r="B260" s="12">
        <v>5</v>
      </c>
      <c r="C260" s="13">
        <v>45548.4009120949</v>
      </c>
      <c r="D260" s="14">
        <v>1774.49444444444</v>
      </c>
      <c r="E260" s="14">
        <v>310.764957264957</v>
      </c>
    </row>
    <row r="261" ht="15.75" spans="1:5">
      <c r="A261" s="12">
        <v>260</v>
      </c>
      <c r="B261" s="12">
        <v>5</v>
      </c>
      <c r="C261" s="13">
        <v>45548.4009699074</v>
      </c>
      <c r="D261" s="14">
        <v>1657.52777777778</v>
      </c>
      <c r="E261" s="14">
        <v>388.742735042735</v>
      </c>
    </row>
    <row r="262" ht="15.75" spans="1:5">
      <c r="A262" s="12">
        <v>261</v>
      </c>
      <c r="B262" s="12">
        <v>5</v>
      </c>
      <c r="C262" s="13">
        <v>45548.4010277199</v>
      </c>
      <c r="D262" s="14">
        <v>1603.54316239316</v>
      </c>
      <c r="E262" s="14">
        <v>418.734188034188</v>
      </c>
    </row>
    <row r="263" ht="15.75" spans="1:5">
      <c r="A263" s="12">
        <v>262</v>
      </c>
      <c r="B263" s="12">
        <v>5</v>
      </c>
      <c r="C263" s="13">
        <v>45548.4010855324</v>
      </c>
      <c r="D263" s="14">
        <v>1510.56965811966</v>
      </c>
      <c r="E263" s="14">
        <v>292.770085470085</v>
      </c>
    </row>
    <row r="264" ht="15.75" spans="1:5">
      <c r="A264" s="12">
        <v>263</v>
      </c>
      <c r="B264" s="12">
        <v>5</v>
      </c>
      <c r="C264" s="13">
        <v>45548.4011433449</v>
      </c>
      <c r="D264" s="14">
        <v>1243.64572649573</v>
      </c>
      <c r="E264" s="14">
        <v>385.743589743589</v>
      </c>
    </row>
    <row r="265" ht="15.75" spans="1:5">
      <c r="A265" s="12">
        <v>264</v>
      </c>
      <c r="B265" s="12">
        <v>5</v>
      </c>
      <c r="C265" s="13">
        <v>45548.4012011574</v>
      </c>
      <c r="D265" s="14">
        <v>1384.60555555556</v>
      </c>
      <c r="E265" s="14">
        <v>463.721367521368</v>
      </c>
    </row>
    <row r="266" ht="15.75" spans="1:5">
      <c r="A266" s="12">
        <v>265</v>
      </c>
      <c r="B266" s="12">
        <v>5</v>
      </c>
      <c r="C266" s="13">
        <v>45548.4012589699</v>
      </c>
      <c r="D266" s="14">
        <v>1309.62692307692</v>
      </c>
      <c r="E266" s="14">
        <v>511.707692307692</v>
      </c>
    </row>
    <row r="267" ht="15.75" spans="1:5">
      <c r="A267" s="12">
        <v>266</v>
      </c>
      <c r="B267" s="12">
        <v>5</v>
      </c>
      <c r="C267" s="13">
        <v>45548.4013167824</v>
      </c>
      <c r="D267" s="14">
        <v>1324.62264957265</v>
      </c>
      <c r="E267" s="14">
        <v>628.674358974359</v>
      </c>
    </row>
    <row r="268" ht="15.75" spans="1:5">
      <c r="A268" s="12">
        <v>267</v>
      </c>
      <c r="B268" s="12">
        <v>5</v>
      </c>
      <c r="C268" s="13">
        <v>45548.4013745949</v>
      </c>
      <c r="D268" s="14">
        <v>1387.6047008547</v>
      </c>
      <c r="E268" s="14">
        <v>733.644444444444</v>
      </c>
    </row>
    <row r="269" ht="15.75" spans="1:5">
      <c r="A269" s="12">
        <v>268</v>
      </c>
      <c r="B269" s="12">
        <v>5</v>
      </c>
      <c r="C269" s="13">
        <v>45548.4014324074</v>
      </c>
      <c r="D269" s="14">
        <v>1378.60726495726</v>
      </c>
      <c r="E269" s="14">
        <v>826.617948717949</v>
      </c>
    </row>
    <row r="270" ht="15.75" spans="1:5">
      <c r="A270" s="12">
        <v>269</v>
      </c>
      <c r="B270" s="12">
        <v>5</v>
      </c>
      <c r="C270" s="13">
        <v>45548.4014902199</v>
      </c>
      <c r="D270" s="14">
        <v>1372.60897435897</v>
      </c>
      <c r="E270" s="14">
        <v>919.591452991453</v>
      </c>
    </row>
    <row r="271" ht="15.75" spans="1:5">
      <c r="A271" s="12">
        <v>270</v>
      </c>
      <c r="B271" s="12">
        <v>5</v>
      </c>
      <c r="C271" s="13">
        <v>45548.4015480324</v>
      </c>
      <c r="D271" s="14">
        <v>1351.61495726496</v>
      </c>
      <c r="E271" s="14">
        <v>967.577777777778</v>
      </c>
    </row>
    <row r="272" ht="15.75" spans="1:5">
      <c r="A272" s="12">
        <v>271</v>
      </c>
      <c r="B272" s="12">
        <v>5</v>
      </c>
      <c r="C272" s="13">
        <v>45548.4016058449</v>
      </c>
      <c r="D272" s="14">
        <v>1234.64829059829</v>
      </c>
      <c r="E272" s="14">
        <v>961.579487179487</v>
      </c>
    </row>
    <row r="273" ht="15.75" spans="1:5">
      <c r="A273" s="12">
        <v>272</v>
      </c>
      <c r="B273" s="12">
        <v>5</v>
      </c>
      <c r="C273" s="13">
        <v>45548.4016636574</v>
      </c>
      <c r="D273" s="14">
        <v>1231.64914529915</v>
      </c>
      <c r="E273" s="14">
        <v>1018.56324786325</v>
      </c>
    </row>
    <row r="274" ht="15.75" spans="1:5">
      <c r="A274" s="12">
        <v>273</v>
      </c>
      <c r="B274" s="12">
        <v>5</v>
      </c>
      <c r="C274" s="13">
        <v>45548.4017214699</v>
      </c>
      <c r="D274" s="14">
        <v>1288.63290598291</v>
      </c>
      <c r="E274" s="14">
        <v>1057.55213675214</v>
      </c>
    </row>
    <row r="275" ht="15.75" spans="1:5">
      <c r="A275" s="12">
        <v>274</v>
      </c>
      <c r="B275" s="12">
        <v>5</v>
      </c>
      <c r="C275" s="13">
        <v>45548.4017792824</v>
      </c>
      <c r="D275" s="14">
        <v>1396.60213675214</v>
      </c>
      <c r="E275" s="14">
        <v>1093.54188034188</v>
      </c>
    </row>
    <row r="276" ht="15.75" spans="1:5">
      <c r="A276" s="12">
        <v>275</v>
      </c>
      <c r="B276" s="12">
        <v>5</v>
      </c>
      <c r="C276" s="13">
        <v>45548.4018370949</v>
      </c>
      <c r="D276" s="14">
        <v>1267.63888888889</v>
      </c>
      <c r="E276" s="14">
        <v>1156.52393162393</v>
      </c>
    </row>
    <row r="277" ht="15.75" spans="1:5">
      <c r="A277" s="12">
        <v>276</v>
      </c>
      <c r="B277" s="12">
        <v>5</v>
      </c>
      <c r="C277" s="13">
        <v>45548.4018949074</v>
      </c>
      <c r="D277" s="14">
        <v>1246.64487179487</v>
      </c>
      <c r="E277" s="14">
        <v>1291.48547008547</v>
      </c>
    </row>
    <row r="278" ht="15.75" spans="1:5">
      <c r="A278" s="12">
        <v>277</v>
      </c>
      <c r="B278" s="12">
        <v>5</v>
      </c>
      <c r="C278" s="13">
        <v>45548.4019527199</v>
      </c>
      <c r="D278" s="14">
        <v>1765.49700854701</v>
      </c>
      <c r="E278" s="14">
        <v>1294.48461538462</v>
      </c>
    </row>
    <row r="279" ht="15.75" spans="1:5">
      <c r="A279" s="12">
        <v>278</v>
      </c>
      <c r="B279" s="12">
        <v>5</v>
      </c>
      <c r="C279" s="13">
        <v>45548.4020105324</v>
      </c>
      <c r="D279" s="14">
        <v>1534.56282051282</v>
      </c>
      <c r="E279" s="14">
        <v>2332.18888888889</v>
      </c>
    </row>
    <row r="280" ht="15.75" spans="1:5">
      <c r="A280" s="12">
        <v>279</v>
      </c>
      <c r="B280" s="12">
        <v>6</v>
      </c>
      <c r="C280" s="13">
        <v>45548.3986574074</v>
      </c>
      <c r="D280" s="14">
        <v>1537.56196581197</v>
      </c>
      <c r="E280" s="14">
        <v>1894.31367521368</v>
      </c>
    </row>
    <row r="281" ht="15.75" spans="1:5">
      <c r="A281" s="12">
        <v>280</v>
      </c>
      <c r="B281" s="12">
        <v>6</v>
      </c>
      <c r="C281" s="13">
        <v>45548.3987152778</v>
      </c>
      <c r="D281" s="14">
        <v>1540.56111111111</v>
      </c>
      <c r="E281" s="14">
        <v>1834.33076923077</v>
      </c>
    </row>
    <row r="282" ht="15.75" spans="1:5">
      <c r="A282" s="12">
        <v>281</v>
      </c>
      <c r="B282" s="12">
        <v>6</v>
      </c>
      <c r="C282" s="13">
        <v>45548.3987731481</v>
      </c>
      <c r="D282" s="14">
        <v>1543.56025641026</v>
      </c>
      <c r="E282" s="14">
        <v>1762.35128205128</v>
      </c>
    </row>
    <row r="283" ht="15.75" spans="1:5">
      <c r="A283" s="12">
        <v>282</v>
      </c>
      <c r="B283" s="12">
        <v>6</v>
      </c>
      <c r="C283" s="13">
        <v>45548.3988308449</v>
      </c>
      <c r="D283" s="14">
        <v>1825.47991452992</v>
      </c>
      <c r="E283" s="14">
        <v>1633.38803418803</v>
      </c>
    </row>
    <row r="284" ht="15.75" spans="1:5">
      <c r="A284" s="12">
        <v>283</v>
      </c>
      <c r="B284" s="12">
        <v>6</v>
      </c>
      <c r="C284" s="13">
        <v>45548.3988886574</v>
      </c>
      <c r="D284" s="14">
        <v>1867.46794871795</v>
      </c>
      <c r="E284" s="14">
        <v>1717.3641025641</v>
      </c>
    </row>
    <row r="285" ht="15.75" spans="1:5">
      <c r="A285" s="12">
        <v>284</v>
      </c>
      <c r="B285" s="12">
        <v>6</v>
      </c>
      <c r="C285" s="13">
        <v>45548.3989464699</v>
      </c>
      <c r="D285" s="14">
        <v>1783.49188034188</v>
      </c>
      <c r="E285" s="14">
        <v>1564.40769230769</v>
      </c>
    </row>
    <row r="286" ht="15.75" spans="1:5">
      <c r="A286" s="12">
        <v>285</v>
      </c>
      <c r="B286" s="12">
        <v>6</v>
      </c>
      <c r="C286" s="13">
        <v>45548.3990042824</v>
      </c>
      <c r="D286" s="14">
        <v>1774.49444444444</v>
      </c>
      <c r="E286" s="14">
        <v>1495.42735042735</v>
      </c>
    </row>
    <row r="287" ht="15.75" spans="1:5">
      <c r="A287" s="12">
        <v>286</v>
      </c>
      <c r="B287" s="12">
        <v>6</v>
      </c>
      <c r="C287" s="13">
        <v>45548.3990620949</v>
      </c>
      <c r="D287" s="14">
        <v>1738.5047008547</v>
      </c>
      <c r="E287" s="14">
        <v>1498.4264957265</v>
      </c>
    </row>
    <row r="288" ht="15.75" spans="1:5">
      <c r="A288" s="12">
        <v>287</v>
      </c>
      <c r="B288" s="12">
        <v>6</v>
      </c>
      <c r="C288" s="13">
        <v>45548.3991199074</v>
      </c>
      <c r="D288" s="14">
        <v>1552.55769230769</v>
      </c>
      <c r="E288" s="14">
        <v>1306.4811965812</v>
      </c>
    </row>
    <row r="289" ht="15.75" spans="1:5">
      <c r="A289" s="12">
        <v>288</v>
      </c>
      <c r="B289" s="12">
        <v>6</v>
      </c>
      <c r="C289" s="13">
        <v>45548.3991777199</v>
      </c>
      <c r="D289" s="14">
        <v>1396.60213675214</v>
      </c>
      <c r="E289" s="14">
        <v>1243.49914529915</v>
      </c>
    </row>
    <row r="290" ht="15.75" spans="1:5">
      <c r="A290" s="12">
        <v>289</v>
      </c>
      <c r="B290" s="12">
        <v>6</v>
      </c>
      <c r="C290" s="13">
        <v>45548.3992355324</v>
      </c>
      <c r="D290" s="14">
        <v>1303.62863247863</v>
      </c>
      <c r="E290" s="14">
        <v>1246.49829059829</v>
      </c>
    </row>
    <row r="291" ht="15.75" spans="1:5">
      <c r="A291" s="12">
        <v>290</v>
      </c>
      <c r="B291" s="12">
        <v>6</v>
      </c>
      <c r="C291" s="13">
        <v>45548.3992933449</v>
      </c>
      <c r="D291" s="14">
        <v>1309.62692307692</v>
      </c>
      <c r="E291" s="14">
        <v>1162.52222222222</v>
      </c>
    </row>
    <row r="292" ht="15.75" spans="1:5">
      <c r="A292" s="12">
        <v>291</v>
      </c>
      <c r="B292" s="12">
        <v>6</v>
      </c>
      <c r="C292" s="13">
        <v>45548.3993511574</v>
      </c>
      <c r="D292" s="14">
        <v>1357.61324786325</v>
      </c>
      <c r="E292" s="14">
        <v>1159.52307692308</v>
      </c>
    </row>
    <row r="293" ht="15.75" spans="1:5">
      <c r="A293" s="12">
        <v>292</v>
      </c>
      <c r="B293" s="12">
        <v>6</v>
      </c>
      <c r="C293" s="13">
        <v>45548.3994089699</v>
      </c>
      <c r="D293" s="14">
        <v>1384.60555555556</v>
      </c>
      <c r="E293" s="14">
        <v>1129.53162393162</v>
      </c>
    </row>
    <row r="294" ht="15.75" spans="1:5">
      <c r="A294" s="12">
        <v>293</v>
      </c>
      <c r="B294" s="12">
        <v>6</v>
      </c>
      <c r="C294" s="13">
        <v>45548.3994667824</v>
      </c>
      <c r="D294" s="14">
        <v>1390.60384615385</v>
      </c>
      <c r="E294" s="14">
        <v>1021.56239316239</v>
      </c>
    </row>
    <row r="295" ht="15.75" spans="1:5">
      <c r="A295" s="12">
        <v>294</v>
      </c>
      <c r="B295" s="12">
        <v>6</v>
      </c>
      <c r="C295" s="13">
        <v>45548.3995245949</v>
      </c>
      <c r="D295" s="14">
        <v>1240.64658119658</v>
      </c>
      <c r="E295" s="14">
        <v>988.571794871795</v>
      </c>
    </row>
    <row r="296" ht="15.75" spans="1:5">
      <c r="A296" s="12">
        <v>295</v>
      </c>
      <c r="B296" s="12">
        <v>6</v>
      </c>
      <c r="C296" s="13">
        <v>45548.3995824074</v>
      </c>
      <c r="D296" s="14">
        <v>1147.67307692308</v>
      </c>
      <c r="E296" s="14">
        <v>934.58717948718</v>
      </c>
    </row>
    <row r="297" ht="15.75" spans="1:5">
      <c r="A297" s="12">
        <v>296</v>
      </c>
      <c r="B297" s="12">
        <v>6</v>
      </c>
      <c r="C297" s="13">
        <v>45548.3996402199</v>
      </c>
      <c r="D297" s="14">
        <v>1378.60726495726</v>
      </c>
      <c r="E297" s="14">
        <v>907.594871794872</v>
      </c>
    </row>
    <row r="298" ht="15.75" spans="1:5">
      <c r="A298" s="12">
        <v>297</v>
      </c>
      <c r="B298" s="12">
        <v>6</v>
      </c>
      <c r="C298" s="13">
        <v>45548.3996980324</v>
      </c>
      <c r="D298" s="14">
        <v>1384.60555555556</v>
      </c>
      <c r="E298" s="14">
        <v>760.636752136752</v>
      </c>
    </row>
    <row r="299" ht="15.75" spans="1:5">
      <c r="A299" s="12">
        <v>298</v>
      </c>
      <c r="B299" s="12">
        <v>6</v>
      </c>
      <c r="C299" s="13">
        <v>45548.3997558449</v>
      </c>
      <c r="D299" s="14">
        <v>1390.60384615385</v>
      </c>
      <c r="E299" s="14">
        <v>685.65811965812</v>
      </c>
    </row>
    <row r="300" ht="15.75" spans="1:5">
      <c r="A300" s="12">
        <v>299</v>
      </c>
      <c r="B300" s="12">
        <v>6</v>
      </c>
      <c r="C300" s="13">
        <v>45548.3998136574</v>
      </c>
      <c r="D300" s="14">
        <v>1360.61239316239</v>
      </c>
      <c r="E300" s="14">
        <v>643.670085470085</v>
      </c>
    </row>
    <row r="301" ht="15.75" spans="1:5">
      <c r="A301" s="12">
        <v>300</v>
      </c>
      <c r="B301" s="12">
        <v>6</v>
      </c>
      <c r="C301" s="13">
        <v>45548.3998714699</v>
      </c>
      <c r="D301" s="14">
        <v>1315.62521367521</v>
      </c>
      <c r="E301" s="14">
        <v>634.672649572649</v>
      </c>
    </row>
    <row r="302" ht="15.75" spans="1:5">
      <c r="A302" s="12">
        <v>301</v>
      </c>
      <c r="B302" s="12">
        <v>6</v>
      </c>
      <c r="C302" s="13">
        <v>45548.3999292824</v>
      </c>
      <c r="D302" s="14">
        <v>1165.66794871795</v>
      </c>
      <c r="E302" s="14">
        <v>676.660683760684</v>
      </c>
    </row>
    <row r="303" ht="15.75" spans="1:5">
      <c r="A303" s="12">
        <v>302</v>
      </c>
      <c r="B303" s="12">
        <v>6</v>
      </c>
      <c r="C303" s="13">
        <v>45548.3999870949</v>
      </c>
      <c r="D303" s="14">
        <v>1177.66452991453</v>
      </c>
      <c r="E303" s="14">
        <v>601.682051282051</v>
      </c>
    </row>
    <row r="304" ht="15.75" spans="1:5">
      <c r="A304" s="12">
        <v>303</v>
      </c>
      <c r="B304" s="12">
        <v>6</v>
      </c>
      <c r="C304" s="13">
        <v>45548.4000449074</v>
      </c>
      <c r="D304" s="14">
        <v>1192.66025641026</v>
      </c>
      <c r="E304" s="14">
        <v>511.707692307692</v>
      </c>
    </row>
    <row r="305" ht="15.75" spans="1:5">
      <c r="A305" s="12">
        <v>304</v>
      </c>
      <c r="B305" s="12">
        <v>6</v>
      </c>
      <c r="C305" s="13">
        <v>45548.4001027199</v>
      </c>
      <c r="D305" s="14">
        <v>1189.66111111111</v>
      </c>
      <c r="E305" s="14">
        <v>379.745299145299</v>
      </c>
    </row>
    <row r="306" ht="15.75" spans="1:5">
      <c r="A306" s="12">
        <v>305</v>
      </c>
      <c r="B306" s="12">
        <v>6</v>
      </c>
      <c r="C306" s="13">
        <v>45548.4001605324</v>
      </c>
      <c r="D306" s="14">
        <v>1267.63888888889</v>
      </c>
      <c r="E306" s="14">
        <v>319.762393162393</v>
      </c>
    </row>
    <row r="307" ht="15.75" spans="1:5">
      <c r="A307" s="12">
        <v>306</v>
      </c>
      <c r="B307" s="12">
        <v>6</v>
      </c>
      <c r="C307" s="13">
        <v>45548.4002183449</v>
      </c>
      <c r="D307" s="14">
        <v>1294.6311965812</v>
      </c>
      <c r="E307" s="14">
        <v>373.747008547008</v>
      </c>
    </row>
    <row r="308" ht="15.75" spans="1:5">
      <c r="A308" s="12">
        <v>307</v>
      </c>
      <c r="B308" s="12">
        <v>6</v>
      </c>
      <c r="C308" s="13">
        <v>45548.4002761574</v>
      </c>
      <c r="D308" s="14">
        <v>1399.60128205128</v>
      </c>
      <c r="E308" s="14">
        <v>382.744444444444</v>
      </c>
    </row>
    <row r="309" ht="15.75" spans="1:5">
      <c r="A309" s="12">
        <v>308</v>
      </c>
      <c r="B309" s="12">
        <v>6</v>
      </c>
      <c r="C309" s="13">
        <v>45548.4003339699</v>
      </c>
      <c r="D309" s="14">
        <v>1576.55085470085</v>
      </c>
      <c r="E309" s="14">
        <v>316.763247863248</v>
      </c>
    </row>
    <row r="310" ht="15.75" spans="1:5">
      <c r="A310" s="12">
        <v>309</v>
      </c>
      <c r="B310" s="12">
        <v>6</v>
      </c>
      <c r="C310" s="13">
        <v>45548.4003917824</v>
      </c>
      <c r="D310" s="14">
        <v>1789.49017094017</v>
      </c>
      <c r="E310" s="14">
        <v>328.759829059829</v>
      </c>
    </row>
    <row r="311" ht="15.75" spans="1:5">
      <c r="A311" s="12">
        <v>310</v>
      </c>
      <c r="B311" s="12">
        <v>6</v>
      </c>
      <c r="C311" s="13">
        <v>45548.4004495949</v>
      </c>
      <c r="D311" s="14">
        <v>1963.4405982906</v>
      </c>
      <c r="E311" s="14">
        <v>331.758974358974</v>
      </c>
    </row>
    <row r="312" ht="15.75" spans="1:5">
      <c r="A312" s="12">
        <v>311</v>
      </c>
      <c r="B312" s="12">
        <v>6</v>
      </c>
      <c r="C312" s="13">
        <v>45548.4005074074</v>
      </c>
      <c r="D312" s="14">
        <v>2299.34487179487</v>
      </c>
      <c r="E312" s="14">
        <v>430.730769230769</v>
      </c>
    </row>
    <row r="313" ht="15.75" spans="1:5">
      <c r="A313" s="12">
        <v>312</v>
      </c>
      <c r="B313" s="12">
        <v>6</v>
      </c>
      <c r="C313" s="13">
        <v>45548.4005652199</v>
      </c>
      <c r="D313" s="14">
        <v>2143.38931623932</v>
      </c>
      <c r="E313" s="14">
        <v>499.711111111111</v>
      </c>
    </row>
    <row r="314" ht="15.75" spans="1:5">
      <c r="A314" s="12">
        <v>313</v>
      </c>
      <c r="B314" s="12">
        <v>6</v>
      </c>
      <c r="C314" s="13">
        <v>45548.4006230324</v>
      </c>
      <c r="D314" s="14">
        <v>2167.38247863248</v>
      </c>
      <c r="E314" s="14">
        <v>571.690598290598</v>
      </c>
    </row>
    <row r="315" ht="15.75" spans="1:5">
      <c r="A315" s="12">
        <v>314</v>
      </c>
      <c r="B315" s="12">
        <v>6</v>
      </c>
      <c r="C315" s="13">
        <v>45548.4006808449</v>
      </c>
      <c r="D315" s="14">
        <v>2248.3594017094</v>
      </c>
      <c r="E315" s="14">
        <v>571.690598290598</v>
      </c>
    </row>
    <row r="316" ht="15.75" spans="1:5">
      <c r="A316" s="12">
        <v>315</v>
      </c>
      <c r="B316" s="12">
        <v>6</v>
      </c>
      <c r="C316" s="13">
        <v>45548.4007386574</v>
      </c>
      <c r="D316" s="14">
        <v>2170.38162393162</v>
      </c>
      <c r="E316" s="14">
        <v>295.76923076923</v>
      </c>
    </row>
    <row r="317" ht="15.75" spans="1:5">
      <c r="A317" s="12">
        <v>316</v>
      </c>
      <c r="B317" s="12">
        <v>6</v>
      </c>
      <c r="C317" s="13">
        <v>45548.4007964699</v>
      </c>
      <c r="D317" s="14">
        <v>1720.50982905983</v>
      </c>
      <c r="E317" s="14">
        <v>292.770085470085</v>
      </c>
    </row>
    <row r="318" ht="15.75" spans="1:5">
      <c r="A318" s="12">
        <v>317</v>
      </c>
      <c r="B318" s="12">
        <v>6</v>
      </c>
      <c r="C318" s="13">
        <v>45548.4008542824</v>
      </c>
      <c r="D318" s="14">
        <v>2290.34743589744</v>
      </c>
      <c r="E318" s="14">
        <v>373.747008547008</v>
      </c>
    </row>
    <row r="319" ht="15.75" spans="1:5">
      <c r="A319" s="12">
        <v>318</v>
      </c>
      <c r="B319" s="12">
        <v>6</v>
      </c>
      <c r="C319" s="13">
        <v>45548.4009120949</v>
      </c>
      <c r="D319" s="14">
        <v>2275.35170940171</v>
      </c>
      <c r="E319" s="14">
        <v>406.737606837607</v>
      </c>
    </row>
    <row r="320" ht="15.75" spans="1:5">
      <c r="A320" s="12">
        <v>319</v>
      </c>
      <c r="B320" s="12">
        <v>6</v>
      </c>
      <c r="C320" s="13">
        <v>45548.4009699074</v>
      </c>
      <c r="D320" s="14">
        <v>2335.33461538462</v>
      </c>
      <c r="E320" s="14">
        <v>628.674358974359</v>
      </c>
    </row>
    <row r="321" ht="15.75" spans="1:5">
      <c r="A321" s="12">
        <v>320</v>
      </c>
      <c r="B321" s="12">
        <v>6</v>
      </c>
      <c r="C321" s="13">
        <v>45548.4010277199</v>
      </c>
      <c r="D321" s="14">
        <v>2260.35598290598</v>
      </c>
      <c r="E321" s="14">
        <v>637.671794871795</v>
      </c>
    </row>
    <row r="322" ht="15.75" spans="1:5">
      <c r="A322" s="12">
        <v>321</v>
      </c>
      <c r="B322" s="12">
        <v>6</v>
      </c>
      <c r="C322" s="13">
        <v>45548.4010855324</v>
      </c>
      <c r="D322" s="14">
        <v>2191.37564102564</v>
      </c>
      <c r="E322" s="14">
        <v>724.647008547009</v>
      </c>
    </row>
    <row r="323" ht="15.75" spans="1:5">
      <c r="A323" s="12">
        <v>322</v>
      </c>
      <c r="B323" s="12">
        <v>6</v>
      </c>
      <c r="C323" s="13">
        <v>45548.4011433449</v>
      </c>
      <c r="D323" s="14">
        <v>2176.37991452992</v>
      </c>
      <c r="E323" s="14">
        <v>781.630769230769</v>
      </c>
    </row>
    <row r="324" ht="15.75" spans="1:5">
      <c r="A324" s="12">
        <v>323</v>
      </c>
      <c r="B324" s="12">
        <v>6</v>
      </c>
      <c r="C324" s="13">
        <v>45548.4012011574</v>
      </c>
      <c r="D324" s="14">
        <v>2197.37393162393</v>
      </c>
      <c r="E324" s="14">
        <v>955.581196581197</v>
      </c>
    </row>
    <row r="325" ht="15.75" spans="1:5">
      <c r="A325" s="12">
        <v>324</v>
      </c>
      <c r="B325" s="12">
        <v>6</v>
      </c>
      <c r="C325" s="13">
        <v>45548.4012589699</v>
      </c>
      <c r="D325" s="14">
        <v>2398.31666666667</v>
      </c>
      <c r="E325" s="14">
        <v>880.602564102564</v>
      </c>
    </row>
    <row r="326" ht="15.75" spans="1:5">
      <c r="A326" s="12">
        <v>325</v>
      </c>
      <c r="B326" s="12">
        <v>6</v>
      </c>
      <c r="C326" s="13">
        <v>45548.4013167824</v>
      </c>
      <c r="D326" s="14">
        <v>2350.33034188034</v>
      </c>
      <c r="E326" s="14">
        <v>991.57094017094</v>
      </c>
    </row>
    <row r="327" ht="15.75" spans="1:5">
      <c r="A327" s="12">
        <v>326</v>
      </c>
      <c r="B327" s="12">
        <v>6</v>
      </c>
      <c r="C327" s="13">
        <v>45548.4013745949</v>
      </c>
      <c r="D327" s="14">
        <v>2329.33632478633</v>
      </c>
      <c r="E327" s="14">
        <v>1069.54871794872</v>
      </c>
    </row>
    <row r="328" ht="15.75" spans="1:5">
      <c r="A328" s="12">
        <v>327</v>
      </c>
      <c r="B328" s="12">
        <v>6</v>
      </c>
      <c r="C328" s="13">
        <v>45548.4014324074</v>
      </c>
      <c r="D328" s="14">
        <v>2239.36196581197</v>
      </c>
      <c r="E328" s="14">
        <v>1081.5452991453</v>
      </c>
    </row>
    <row r="329" ht="15.75" spans="1:5">
      <c r="A329" s="12">
        <v>328</v>
      </c>
      <c r="B329" s="12">
        <v>6</v>
      </c>
      <c r="C329" s="13">
        <v>45548.4014902199</v>
      </c>
      <c r="D329" s="14">
        <v>2158.38504273504</v>
      </c>
      <c r="E329" s="14">
        <v>1183.51623931624</v>
      </c>
    </row>
    <row r="330" ht="15.75" spans="1:5">
      <c r="A330" s="12">
        <v>329</v>
      </c>
      <c r="B330" s="12">
        <v>6</v>
      </c>
      <c r="C330" s="13">
        <v>45548.4015480324</v>
      </c>
      <c r="D330" s="14">
        <v>2200.37307692308</v>
      </c>
      <c r="E330" s="14">
        <v>1186.51538461538</v>
      </c>
    </row>
    <row r="331" ht="15.75" spans="1:5">
      <c r="A331" s="12">
        <v>330</v>
      </c>
      <c r="B331" s="12">
        <v>6</v>
      </c>
      <c r="C331" s="13">
        <v>45548.4016058449</v>
      </c>
      <c r="D331" s="14">
        <v>2263.35512820513</v>
      </c>
      <c r="E331" s="14">
        <v>1192.51367521368</v>
      </c>
    </row>
    <row r="332" ht="15.75" spans="1:5">
      <c r="A332" s="12">
        <v>331</v>
      </c>
      <c r="B332" s="12">
        <v>6</v>
      </c>
      <c r="C332" s="13">
        <v>45548.4016636574</v>
      </c>
      <c r="D332" s="14">
        <v>2335.33461538462</v>
      </c>
      <c r="E332" s="14">
        <v>1183.51623931624</v>
      </c>
    </row>
    <row r="333" ht="15.75" spans="1:5">
      <c r="A333" s="12">
        <v>332</v>
      </c>
      <c r="B333" s="12">
        <v>6</v>
      </c>
      <c r="C333" s="13">
        <v>45548.4017214699</v>
      </c>
      <c r="D333" s="14">
        <v>2338.33376068376</v>
      </c>
      <c r="E333" s="14">
        <v>1234.50170940171</v>
      </c>
    </row>
    <row r="334" ht="15.75" spans="1:5">
      <c r="A334" s="12">
        <v>333</v>
      </c>
      <c r="B334" s="12">
        <v>6</v>
      </c>
      <c r="C334" s="13">
        <v>45548.4017792824</v>
      </c>
      <c r="D334" s="14">
        <v>2329.33632478633</v>
      </c>
      <c r="E334" s="14">
        <v>1324.47606837607</v>
      </c>
    </row>
    <row r="335" ht="15.75" spans="1:5">
      <c r="A335" s="12">
        <v>334</v>
      </c>
      <c r="B335" s="12">
        <v>6</v>
      </c>
      <c r="C335" s="13">
        <v>45548.4018370949</v>
      </c>
      <c r="D335" s="14">
        <v>2197.37393162393</v>
      </c>
      <c r="E335" s="14">
        <v>1243.49914529915</v>
      </c>
    </row>
    <row r="336" ht="15.75" spans="1:5">
      <c r="A336" s="12">
        <v>335</v>
      </c>
      <c r="B336" s="12">
        <v>6</v>
      </c>
      <c r="C336" s="13">
        <v>45548.4018949074</v>
      </c>
      <c r="D336" s="14">
        <v>1897.4594017094</v>
      </c>
      <c r="E336" s="14">
        <v>1228.50341880342</v>
      </c>
    </row>
    <row r="337" ht="15.75" spans="1:5">
      <c r="A337" s="12">
        <v>336</v>
      </c>
      <c r="B337" s="12">
        <v>6</v>
      </c>
      <c r="C337" s="13">
        <v>45548.4019527199</v>
      </c>
      <c r="D337" s="14">
        <v>1828.47905982906</v>
      </c>
      <c r="E337" s="14">
        <v>1231.50256410256</v>
      </c>
    </row>
    <row r="338" ht="15.75" spans="1:5">
      <c r="A338" s="12">
        <v>337</v>
      </c>
      <c r="B338" s="12">
        <v>6</v>
      </c>
      <c r="C338" s="13">
        <v>45548.4020105324</v>
      </c>
      <c r="D338" s="14">
        <v>1249.64401709402</v>
      </c>
      <c r="E338" s="14">
        <v>1234.50170940171</v>
      </c>
    </row>
    <row r="339" ht="15.75" spans="1:5">
      <c r="A339" s="12">
        <v>338</v>
      </c>
      <c r="B339" s="12">
        <v>6</v>
      </c>
      <c r="C339" s="13">
        <v>45548.4020683449</v>
      </c>
      <c r="D339" s="14">
        <v>1351.61495726496</v>
      </c>
      <c r="E339" s="14">
        <v>1141.52820512821</v>
      </c>
    </row>
    <row r="340" ht="15.75" spans="1:5">
      <c r="A340" s="12">
        <v>339</v>
      </c>
      <c r="B340" s="12">
        <v>6</v>
      </c>
      <c r="C340" s="13">
        <v>45548.4021261574</v>
      </c>
      <c r="D340" s="14">
        <v>1393.60299145299</v>
      </c>
      <c r="E340" s="14">
        <v>1075.54700854701</v>
      </c>
    </row>
    <row r="341" ht="15.75" spans="1:5">
      <c r="A341" s="12">
        <v>340</v>
      </c>
      <c r="B341" s="12">
        <v>6</v>
      </c>
      <c r="C341" s="13">
        <v>45548.4021839699</v>
      </c>
      <c r="D341" s="14">
        <v>1243.64572649573</v>
      </c>
      <c r="E341" s="14">
        <v>1048.5547008547</v>
      </c>
    </row>
    <row r="342" ht="15.75" spans="1:5">
      <c r="A342" s="12">
        <v>341</v>
      </c>
      <c r="B342" s="12">
        <v>6</v>
      </c>
      <c r="C342" s="13">
        <v>45548.4022417824</v>
      </c>
      <c r="D342" s="14">
        <v>1366.61068376068</v>
      </c>
      <c r="E342" s="14">
        <v>946.583760683761</v>
      </c>
    </row>
    <row r="343" ht="15.75" spans="1:5">
      <c r="A343" s="12">
        <v>342</v>
      </c>
      <c r="B343" s="12">
        <v>6</v>
      </c>
      <c r="C343" s="13">
        <v>45548.4022995949</v>
      </c>
      <c r="D343" s="14">
        <v>1396.60213675214</v>
      </c>
      <c r="E343" s="14">
        <v>892.599145299145</v>
      </c>
    </row>
    <row r="344" ht="15.75" spans="1:5">
      <c r="A344" s="12">
        <v>343</v>
      </c>
      <c r="B344" s="12">
        <v>6</v>
      </c>
      <c r="C344" s="13">
        <v>45548.4023574074</v>
      </c>
      <c r="D344" s="14">
        <v>1333.62008547009</v>
      </c>
      <c r="E344" s="14">
        <v>895.598290598291</v>
      </c>
    </row>
    <row r="345" ht="15.75" spans="1:5">
      <c r="A345" s="12">
        <v>344</v>
      </c>
      <c r="B345" s="12">
        <v>6</v>
      </c>
      <c r="C345" s="13">
        <v>45548.3986574074</v>
      </c>
      <c r="D345" s="14">
        <v>1396.60213675214</v>
      </c>
      <c r="E345" s="14">
        <v>766.635042735043</v>
      </c>
    </row>
    <row r="346" ht="15.75" spans="1:5">
      <c r="A346" s="12">
        <v>345</v>
      </c>
      <c r="B346" s="12">
        <v>6</v>
      </c>
      <c r="C346" s="13">
        <v>45548.3986574074</v>
      </c>
      <c r="D346" s="14">
        <v>1393.60299145299</v>
      </c>
      <c r="E346" s="14">
        <v>616.677777777778</v>
      </c>
    </row>
    <row r="347" ht="15.75" spans="1:5">
      <c r="A347" s="12">
        <v>346</v>
      </c>
      <c r="B347" s="12">
        <v>6</v>
      </c>
      <c r="C347" s="13">
        <v>45548.3986574074</v>
      </c>
      <c r="D347" s="14">
        <v>1240.64658119658</v>
      </c>
      <c r="E347" s="14">
        <v>598.682905982906</v>
      </c>
    </row>
    <row r="348" ht="15.75" spans="1:5">
      <c r="A348" s="12">
        <v>347</v>
      </c>
      <c r="B348" s="12">
        <v>6</v>
      </c>
      <c r="C348" s="13">
        <v>45548.3986574074</v>
      </c>
      <c r="D348" s="14">
        <v>1255.64230769231</v>
      </c>
      <c r="E348" s="14">
        <v>529.702564102564</v>
      </c>
    </row>
    <row r="349" ht="15.75" spans="1:5">
      <c r="A349" s="12">
        <v>348</v>
      </c>
      <c r="B349" s="12">
        <v>6</v>
      </c>
      <c r="C349" s="13">
        <v>45548.3986574074</v>
      </c>
      <c r="D349" s="14">
        <v>1297.63034188034</v>
      </c>
      <c r="E349" s="14">
        <v>502.710256410256</v>
      </c>
    </row>
    <row r="350" ht="15.75" spans="1:5">
      <c r="A350" s="12">
        <v>349</v>
      </c>
      <c r="B350" s="12">
        <v>6</v>
      </c>
      <c r="C350" s="13">
        <v>45548.3986574074</v>
      </c>
      <c r="D350" s="14">
        <v>1351.61495726496</v>
      </c>
      <c r="E350" s="14">
        <v>565.692307692308</v>
      </c>
    </row>
    <row r="351" ht="15.75" spans="1:5">
      <c r="A351" s="12">
        <v>350</v>
      </c>
      <c r="B351" s="12">
        <v>6</v>
      </c>
      <c r="C351" s="13">
        <v>45548.3986574074</v>
      </c>
      <c r="D351" s="14">
        <v>1393.60299145299</v>
      </c>
      <c r="E351" s="14">
        <v>520.705128205128</v>
      </c>
    </row>
    <row r="352" ht="15.75" spans="1:5">
      <c r="A352" s="12">
        <v>351</v>
      </c>
      <c r="B352" s="12">
        <v>6</v>
      </c>
      <c r="C352" s="13">
        <v>45548.3986574074</v>
      </c>
      <c r="D352" s="14">
        <v>1390.60384615385</v>
      </c>
      <c r="E352" s="14">
        <v>427.731623931624</v>
      </c>
    </row>
    <row r="353" ht="15.75" spans="1:5">
      <c r="A353" s="12">
        <v>352</v>
      </c>
      <c r="B353" s="12">
        <v>6</v>
      </c>
      <c r="C353" s="13">
        <v>45548.3986574074</v>
      </c>
      <c r="D353" s="14">
        <v>1291.63205128205</v>
      </c>
      <c r="E353" s="14">
        <v>358.751282051282</v>
      </c>
    </row>
    <row r="354" ht="15.75" spans="1:5">
      <c r="A354" s="12">
        <v>353</v>
      </c>
      <c r="B354" s="12">
        <v>6</v>
      </c>
      <c r="C354" s="13">
        <v>45548.3986574074</v>
      </c>
      <c r="D354" s="14">
        <v>1252.64316239316</v>
      </c>
      <c r="E354" s="14">
        <v>316.763247863248</v>
      </c>
    </row>
    <row r="355" ht="15.75" spans="1:5">
      <c r="A355" s="12">
        <v>354</v>
      </c>
      <c r="B355" s="12">
        <v>6</v>
      </c>
      <c r="C355" s="13">
        <v>45548.3986574074</v>
      </c>
      <c r="D355" s="14">
        <v>1318.62435897436</v>
      </c>
      <c r="E355" s="14">
        <v>289.77094017094</v>
      </c>
    </row>
    <row r="356" ht="15.75" spans="1:5">
      <c r="A356" s="12">
        <v>355</v>
      </c>
      <c r="B356" s="12">
        <v>6</v>
      </c>
      <c r="C356" s="13">
        <v>45548.3986574074</v>
      </c>
      <c r="D356" s="14">
        <v>1396.60213675214</v>
      </c>
      <c r="E356" s="14">
        <v>304.766666666666</v>
      </c>
    </row>
    <row r="357" ht="15.75" spans="1:5">
      <c r="A357" s="12">
        <v>356</v>
      </c>
      <c r="B357" s="12">
        <v>6</v>
      </c>
      <c r="C357" s="13">
        <v>45548.3986574074</v>
      </c>
      <c r="D357" s="14">
        <v>1480.57820512821</v>
      </c>
      <c r="E357" s="14">
        <v>289.77094017094</v>
      </c>
    </row>
    <row r="358" ht="15.75" spans="1:5">
      <c r="A358" s="12">
        <v>357</v>
      </c>
      <c r="B358" s="12">
        <v>6</v>
      </c>
      <c r="C358" s="13">
        <v>45548.3986574074</v>
      </c>
      <c r="D358" s="14">
        <v>1612.5405982906</v>
      </c>
      <c r="E358" s="14">
        <v>382.744444444444</v>
      </c>
    </row>
    <row r="359" ht="15.75" spans="1:5">
      <c r="A359" s="12">
        <v>358</v>
      </c>
      <c r="B359" s="12">
        <v>6</v>
      </c>
      <c r="C359" s="13">
        <v>45548.3986574074</v>
      </c>
      <c r="D359" s="14">
        <v>1861.46965811966</v>
      </c>
      <c r="E359" s="14">
        <v>415.735042735043</v>
      </c>
    </row>
    <row r="360" ht="15.75" spans="1:5">
      <c r="A360" s="12">
        <v>359</v>
      </c>
      <c r="B360" s="12">
        <v>6</v>
      </c>
      <c r="C360" s="13">
        <v>45548.3986574074</v>
      </c>
      <c r="D360" s="14">
        <v>1918.45341880342</v>
      </c>
      <c r="E360" s="14">
        <v>340.75641025641</v>
      </c>
    </row>
    <row r="361" ht="15.75" spans="1:5">
      <c r="A361" s="12">
        <v>360</v>
      </c>
      <c r="B361" s="12">
        <v>6</v>
      </c>
      <c r="C361" s="13">
        <v>45548.3986574074</v>
      </c>
      <c r="D361" s="14">
        <v>2035.42008547009</v>
      </c>
      <c r="E361" s="14">
        <v>277.774358974359</v>
      </c>
    </row>
    <row r="362" ht="15.75" spans="1:5">
      <c r="A362" s="12">
        <v>361</v>
      </c>
      <c r="B362" s="12">
        <v>6</v>
      </c>
      <c r="C362" s="13">
        <v>45548.3986574074</v>
      </c>
      <c r="D362" s="14">
        <v>2257.35683760684</v>
      </c>
      <c r="E362" s="14">
        <v>376.746153846153</v>
      </c>
    </row>
    <row r="363" ht="15.75" spans="1:5">
      <c r="A363" s="12">
        <v>362</v>
      </c>
      <c r="B363" s="12">
        <v>6</v>
      </c>
      <c r="C363" s="13">
        <v>45548.3986574074</v>
      </c>
      <c r="D363" s="14">
        <v>2161.38418803419</v>
      </c>
      <c r="E363" s="14">
        <v>388.742735042735</v>
      </c>
    </row>
    <row r="364" ht="15.75" spans="1:5">
      <c r="A364" s="12">
        <v>363</v>
      </c>
      <c r="B364" s="12">
        <v>6</v>
      </c>
      <c r="C364" s="13">
        <v>45548.3986574074</v>
      </c>
      <c r="D364" s="14">
        <v>2125.39444444445</v>
      </c>
      <c r="E364" s="14">
        <v>472.718803418803</v>
      </c>
    </row>
    <row r="365" ht="15.75" spans="1:5">
      <c r="A365" s="12">
        <v>364</v>
      </c>
      <c r="B365" s="12">
        <v>6</v>
      </c>
      <c r="C365" s="13">
        <v>45548.3986574074</v>
      </c>
      <c r="D365" s="14">
        <v>2167.38247863248</v>
      </c>
      <c r="E365" s="14">
        <v>469.719658119658</v>
      </c>
    </row>
    <row r="366" ht="15.75" spans="1:5">
      <c r="A366" s="12">
        <v>365</v>
      </c>
      <c r="B366" s="12">
        <v>6</v>
      </c>
      <c r="C366" s="13">
        <v>45548.3986574074</v>
      </c>
      <c r="D366" s="14">
        <v>2212.36965811966</v>
      </c>
      <c r="E366" s="14">
        <v>499.711111111111</v>
      </c>
    </row>
    <row r="367" ht="15.75" spans="1:5">
      <c r="A367" s="12">
        <v>366</v>
      </c>
      <c r="B367" s="12">
        <v>6</v>
      </c>
      <c r="C367" s="13">
        <v>45548.3986574074</v>
      </c>
      <c r="D367" s="14">
        <v>2122.3952991453</v>
      </c>
      <c r="E367" s="14">
        <v>904.595726495726</v>
      </c>
    </row>
    <row r="368" ht="15.75" spans="1:5">
      <c r="A368" s="12">
        <v>367</v>
      </c>
      <c r="B368" s="12">
        <v>6</v>
      </c>
      <c r="C368" s="13">
        <v>45548.3986574074</v>
      </c>
      <c r="D368" s="14">
        <v>2197.37393162393</v>
      </c>
      <c r="E368" s="14">
        <v>1321.47692307692</v>
      </c>
    </row>
    <row r="369" ht="15.75" spans="1:5">
      <c r="A369" s="12">
        <v>368</v>
      </c>
      <c r="B369" s="12">
        <v>6</v>
      </c>
      <c r="C369" s="13">
        <v>45548.3986574074</v>
      </c>
      <c r="D369" s="14">
        <v>2275.35170940171</v>
      </c>
      <c r="E369" s="14">
        <v>1321.47692307692</v>
      </c>
    </row>
    <row r="370" ht="15.75" spans="1:5">
      <c r="A370" s="12">
        <v>369</v>
      </c>
      <c r="B370" s="12">
        <v>6</v>
      </c>
      <c r="C370" s="13">
        <v>45548.3986574074</v>
      </c>
      <c r="D370" s="14">
        <v>2290.34743589744</v>
      </c>
      <c r="E370" s="14">
        <v>1252.49658119658</v>
      </c>
    </row>
    <row r="371" ht="15.75" spans="1:5">
      <c r="A371" s="12">
        <v>370</v>
      </c>
      <c r="B371" s="12">
        <v>6</v>
      </c>
      <c r="C371" s="13">
        <v>45548.3986574074</v>
      </c>
      <c r="D371" s="14">
        <v>2287.34829059829</v>
      </c>
      <c r="E371" s="14">
        <v>1201.51111111111</v>
      </c>
    </row>
    <row r="372" ht="15.75" spans="1:5">
      <c r="A372" s="12">
        <v>371</v>
      </c>
      <c r="B372" s="12">
        <v>6</v>
      </c>
      <c r="C372" s="13">
        <v>45548.3986574074</v>
      </c>
      <c r="D372" s="14">
        <v>2257.35683760684</v>
      </c>
      <c r="E372" s="14">
        <v>1189.51452991453</v>
      </c>
    </row>
    <row r="373" ht="15.75" spans="1:5">
      <c r="A373" s="12">
        <v>372</v>
      </c>
      <c r="B373" s="12">
        <v>6</v>
      </c>
      <c r="C373" s="13">
        <v>45548.3986574074</v>
      </c>
      <c r="D373" s="14">
        <v>2197.37393162393</v>
      </c>
      <c r="E373" s="14">
        <v>1114.5358974359</v>
      </c>
    </row>
    <row r="374" ht="15.75" spans="1:5">
      <c r="A374" s="12">
        <v>373</v>
      </c>
      <c r="B374" s="12">
        <v>6</v>
      </c>
      <c r="C374" s="13">
        <v>45548.3986574074</v>
      </c>
      <c r="D374" s="14">
        <v>2209.37051282051</v>
      </c>
      <c r="E374" s="14">
        <v>1012.56495726496</v>
      </c>
    </row>
    <row r="375" ht="15.75" spans="1:5">
      <c r="A375" s="12">
        <v>374</v>
      </c>
      <c r="B375" s="12">
        <v>6</v>
      </c>
      <c r="C375" s="13">
        <v>45548.3986574074</v>
      </c>
      <c r="D375" s="14">
        <v>2191.37564102564</v>
      </c>
      <c r="E375" s="14">
        <v>1063.55042735043</v>
      </c>
    </row>
    <row r="376" ht="15.75" spans="1:5">
      <c r="A376" s="12">
        <v>375</v>
      </c>
      <c r="B376" s="12">
        <v>6</v>
      </c>
      <c r="C376" s="13">
        <v>45548.3986574074</v>
      </c>
      <c r="D376" s="14">
        <v>2170.38162393162</v>
      </c>
      <c r="E376" s="14">
        <v>1288.48632478632</v>
      </c>
    </row>
    <row r="377" ht="15.75" spans="1:5">
      <c r="A377" s="12">
        <v>376</v>
      </c>
      <c r="B377" s="12">
        <v>6</v>
      </c>
      <c r="C377" s="13">
        <v>45548.3986574074</v>
      </c>
      <c r="D377" s="14">
        <v>2050.41581196581</v>
      </c>
      <c r="E377" s="14">
        <v>1285.48717948718</v>
      </c>
    </row>
    <row r="378" ht="15.75" spans="1:5">
      <c r="A378" s="12">
        <v>377</v>
      </c>
      <c r="B378" s="12">
        <v>7</v>
      </c>
      <c r="C378" s="13">
        <v>45548.3986574074</v>
      </c>
      <c r="D378" s="14">
        <v>1894.46025641026</v>
      </c>
      <c r="E378" s="14">
        <v>2221.22051282051</v>
      </c>
    </row>
    <row r="379" ht="15.75" spans="1:5">
      <c r="A379" s="12">
        <v>378</v>
      </c>
      <c r="B379" s="12">
        <v>7</v>
      </c>
      <c r="C379" s="13">
        <v>45548.3987152778</v>
      </c>
      <c r="D379" s="14">
        <v>1672.5235042735</v>
      </c>
      <c r="E379" s="14">
        <v>1633.38803418803</v>
      </c>
    </row>
    <row r="380" ht="15.75" spans="1:5">
      <c r="A380" s="12">
        <v>379</v>
      </c>
      <c r="B380" s="12">
        <v>7</v>
      </c>
      <c r="C380" s="13">
        <v>45548.3987731481</v>
      </c>
      <c r="D380" s="14">
        <v>1747.50213675214</v>
      </c>
      <c r="E380" s="14">
        <v>1492.42820512821</v>
      </c>
    </row>
    <row r="381" ht="15.75" spans="1:5">
      <c r="A381" s="12">
        <v>380</v>
      </c>
      <c r="B381" s="12">
        <v>7</v>
      </c>
      <c r="C381" s="13">
        <v>45548.3988308449</v>
      </c>
      <c r="D381" s="14">
        <v>1741.50384615385</v>
      </c>
      <c r="E381" s="14">
        <v>1351.46837606838</v>
      </c>
    </row>
    <row r="382" ht="15.75" spans="1:5">
      <c r="A382" s="12">
        <v>381</v>
      </c>
      <c r="B382" s="12">
        <v>7</v>
      </c>
      <c r="C382" s="13">
        <v>45548.3988886574</v>
      </c>
      <c r="D382" s="14">
        <v>1669.52435897436</v>
      </c>
      <c r="E382" s="14">
        <v>1282.48803418803</v>
      </c>
    </row>
    <row r="383" ht="15.75" spans="1:5">
      <c r="A383" s="12">
        <v>382</v>
      </c>
      <c r="B383" s="12">
        <v>7</v>
      </c>
      <c r="C383" s="13">
        <v>45548.3989464699</v>
      </c>
      <c r="D383" s="14">
        <v>1507.57051282051</v>
      </c>
      <c r="E383" s="14">
        <v>1282.48803418803</v>
      </c>
    </row>
    <row r="384" ht="15.75" spans="1:5">
      <c r="A384" s="12">
        <v>383</v>
      </c>
      <c r="B384" s="12">
        <v>7</v>
      </c>
      <c r="C384" s="13">
        <v>45548.3990042824</v>
      </c>
      <c r="D384" s="14">
        <v>1396.60213675214</v>
      </c>
      <c r="E384" s="14">
        <v>1282.48803418803</v>
      </c>
    </row>
    <row r="385" ht="15.75" spans="1:5">
      <c r="A385" s="12">
        <v>384</v>
      </c>
      <c r="B385" s="12">
        <v>7</v>
      </c>
      <c r="C385" s="13">
        <v>45548.3990620949</v>
      </c>
      <c r="D385" s="14">
        <v>1390.60384615385</v>
      </c>
      <c r="E385" s="14">
        <v>1246.49829059829</v>
      </c>
    </row>
    <row r="386" ht="15.75" spans="1:5">
      <c r="A386" s="12">
        <v>385</v>
      </c>
      <c r="B386" s="12">
        <v>7</v>
      </c>
      <c r="C386" s="13">
        <v>45548.3991199074</v>
      </c>
      <c r="D386" s="14">
        <v>1348.61581196581</v>
      </c>
      <c r="E386" s="14">
        <v>1210.50854700855</v>
      </c>
    </row>
    <row r="387" ht="15.75" spans="1:5">
      <c r="A387" s="12">
        <v>386</v>
      </c>
      <c r="B387" s="12">
        <v>7</v>
      </c>
      <c r="C387" s="13">
        <v>45548.3991777199</v>
      </c>
      <c r="D387" s="14">
        <v>1315.62521367521</v>
      </c>
      <c r="E387" s="14">
        <v>1261.49401709402</v>
      </c>
    </row>
    <row r="388" ht="15.75" spans="1:5">
      <c r="A388" s="12">
        <v>387</v>
      </c>
      <c r="B388" s="12">
        <v>7</v>
      </c>
      <c r="C388" s="13">
        <v>45548.3992355324</v>
      </c>
      <c r="D388" s="14">
        <v>1231.64914529915</v>
      </c>
      <c r="E388" s="14">
        <v>1288.48632478632</v>
      </c>
    </row>
    <row r="389" ht="15.75" spans="1:5">
      <c r="A389" s="12">
        <v>388</v>
      </c>
      <c r="B389" s="12">
        <v>7</v>
      </c>
      <c r="C389" s="13">
        <v>45548.3992933449</v>
      </c>
      <c r="D389" s="14">
        <v>1201.65769230769</v>
      </c>
      <c r="E389" s="14">
        <v>1225.50427350427</v>
      </c>
    </row>
    <row r="390" ht="15.75" spans="1:5">
      <c r="A390" s="12">
        <v>389</v>
      </c>
      <c r="B390" s="12">
        <v>7</v>
      </c>
      <c r="C390" s="13">
        <v>45548.3993511574</v>
      </c>
      <c r="D390" s="14">
        <v>1207.65598290598</v>
      </c>
      <c r="E390" s="14">
        <v>1069.54871794872</v>
      </c>
    </row>
    <row r="391" ht="15.75" spans="1:5">
      <c r="A391" s="12">
        <v>390</v>
      </c>
      <c r="B391" s="12">
        <v>7</v>
      </c>
      <c r="C391" s="13">
        <v>45548.3994089699</v>
      </c>
      <c r="D391" s="14">
        <v>1315.62521367521</v>
      </c>
      <c r="E391" s="14">
        <v>964.578632478633</v>
      </c>
    </row>
    <row r="392" ht="15.75" spans="1:5">
      <c r="A392" s="12">
        <v>391</v>
      </c>
      <c r="B392" s="12">
        <v>7</v>
      </c>
      <c r="C392" s="13">
        <v>45548.3994667824</v>
      </c>
      <c r="D392" s="14">
        <v>1390.60384615385</v>
      </c>
      <c r="E392" s="14">
        <v>889.6</v>
      </c>
    </row>
    <row r="393" ht="15.75" spans="1:5">
      <c r="A393" s="12">
        <v>392</v>
      </c>
      <c r="B393" s="12">
        <v>7</v>
      </c>
      <c r="C393" s="13">
        <v>45548.3995245949</v>
      </c>
      <c r="D393" s="14">
        <v>1390.60384615385</v>
      </c>
      <c r="E393" s="14">
        <v>835.615384615385</v>
      </c>
    </row>
    <row r="394" ht="15.75" spans="1:5">
      <c r="A394" s="12">
        <v>393</v>
      </c>
      <c r="B394" s="12">
        <v>7</v>
      </c>
      <c r="C394" s="13">
        <v>45548.3995824074</v>
      </c>
      <c r="D394" s="14">
        <v>1387.6047008547</v>
      </c>
      <c r="E394" s="14">
        <v>712.650427350427</v>
      </c>
    </row>
    <row r="395" ht="15.75" spans="1:5">
      <c r="A395" s="12">
        <v>394</v>
      </c>
      <c r="B395" s="12">
        <v>7</v>
      </c>
      <c r="C395" s="13">
        <v>45548.3996402199</v>
      </c>
      <c r="D395" s="14">
        <v>1354.6141025641</v>
      </c>
      <c r="E395" s="14">
        <v>616.677777777778</v>
      </c>
    </row>
    <row r="396" ht="15.75" spans="1:5">
      <c r="A396" s="12">
        <v>395</v>
      </c>
      <c r="B396" s="12">
        <v>7</v>
      </c>
      <c r="C396" s="13">
        <v>45548.3996980324</v>
      </c>
      <c r="D396" s="14">
        <v>1282.63461538462</v>
      </c>
      <c r="E396" s="14">
        <v>643.670085470085</v>
      </c>
    </row>
    <row r="397" ht="15.75" spans="1:5">
      <c r="A397" s="12">
        <v>396</v>
      </c>
      <c r="B397" s="12">
        <v>7</v>
      </c>
      <c r="C397" s="13">
        <v>45548.3997558449</v>
      </c>
      <c r="D397" s="14">
        <v>1207.65598290598</v>
      </c>
      <c r="E397" s="14">
        <v>649.668376068376</v>
      </c>
    </row>
    <row r="398" ht="15.75" spans="1:5">
      <c r="A398" s="12">
        <v>397</v>
      </c>
      <c r="B398" s="12">
        <v>7</v>
      </c>
      <c r="C398" s="13">
        <v>45548.3998136574</v>
      </c>
      <c r="D398" s="14">
        <v>1162.6688034188</v>
      </c>
      <c r="E398" s="14">
        <v>679.659829059829</v>
      </c>
    </row>
    <row r="399" ht="15.75" spans="1:5">
      <c r="A399" s="12">
        <v>398</v>
      </c>
      <c r="B399" s="12">
        <v>7</v>
      </c>
      <c r="C399" s="13">
        <v>45548.3998714699</v>
      </c>
      <c r="D399" s="14">
        <v>1186.66196581197</v>
      </c>
      <c r="E399" s="14">
        <v>577.688888888889</v>
      </c>
    </row>
    <row r="400" ht="15.75" spans="1:5">
      <c r="A400" s="12">
        <v>399</v>
      </c>
      <c r="B400" s="12">
        <v>7</v>
      </c>
      <c r="C400" s="13">
        <v>45548.3999292824</v>
      </c>
      <c r="D400" s="14">
        <v>1267.63888888889</v>
      </c>
      <c r="E400" s="14">
        <v>547.697435897436</v>
      </c>
    </row>
    <row r="401" ht="15.75" spans="1:5">
      <c r="A401" s="12">
        <v>400</v>
      </c>
      <c r="B401" s="12">
        <v>7</v>
      </c>
      <c r="C401" s="13">
        <v>45548.3999870949</v>
      </c>
      <c r="D401" s="14">
        <v>1231.64914529915</v>
      </c>
      <c r="E401" s="14">
        <v>415.735042735043</v>
      </c>
    </row>
    <row r="402" ht="15.75" spans="1:5">
      <c r="A402" s="12">
        <v>401</v>
      </c>
      <c r="B402" s="12">
        <v>7</v>
      </c>
      <c r="C402" s="13">
        <v>45548.4000449074</v>
      </c>
      <c r="D402" s="14">
        <v>1240.64658119658</v>
      </c>
      <c r="E402" s="14">
        <v>304.766666666666</v>
      </c>
    </row>
    <row r="403" ht="15.75" spans="1:5">
      <c r="A403" s="12">
        <v>402</v>
      </c>
      <c r="B403" s="12">
        <v>7</v>
      </c>
      <c r="C403" s="13">
        <v>45548.4001027199</v>
      </c>
      <c r="D403" s="14">
        <v>1318.62435897436</v>
      </c>
      <c r="E403" s="14">
        <v>436.72905982906</v>
      </c>
    </row>
    <row r="404" ht="15.75" spans="1:5">
      <c r="A404" s="12">
        <v>403</v>
      </c>
      <c r="B404" s="12">
        <v>7</v>
      </c>
      <c r="C404" s="13">
        <v>45548.4001605324</v>
      </c>
      <c r="D404" s="14">
        <v>1342.61752136752</v>
      </c>
      <c r="E404" s="14">
        <v>331.758974358974</v>
      </c>
    </row>
    <row r="405" ht="15.75" spans="1:5">
      <c r="A405" s="12">
        <v>404</v>
      </c>
      <c r="B405" s="12">
        <v>7</v>
      </c>
      <c r="C405" s="13">
        <v>45548.4002183449</v>
      </c>
      <c r="D405" s="14">
        <v>1567.55341880342</v>
      </c>
      <c r="E405" s="14">
        <v>304.766666666666</v>
      </c>
    </row>
    <row r="406" ht="15.75" spans="1:5">
      <c r="A406" s="12">
        <v>405</v>
      </c>
      <c r="B406" s="12">
        <v>7</v>
      </c>
      <c r="C406" s="13">
        <v>45548.4002761574</v>
      </c>
      <c r="D406" s="14">
        <v>2131.39273504274</v>
      </c>
      <c r="E406" s="14">
        <v>292.770085470085</v>
      </c>
    </row>
    <row r="407" ht="15.75" spans="1:5">
      <c r="A407" s="12">
        <v>406</v>
      </c>
      <c r="B407" s="12">
        <v>7</v>
      </c>
      <c r="C407" s="13">
        <v>45548.4003339699</v>
      </c>
      <c r="D407" s="14">
        <v>2317.33974358974</v>
      </c>
      <c r="E407" s="14">
        <v>340.75641025641</v>
      </c>
    </row>
    <row r="408" ht="15.75" spans="1:5">
      <c r="A408" s="12">
        <v>407</v>
      </c>
      <c r="B408" s="12">
        <v>7</v>
      </c>
      <c r="C408" s="13">
        <v>45548.4003917824</v>
      </c>
      <c r="D408" s="14">
        <v>2152.38675213675</v>
      </c>
      <c r="E408" s="14">
        <v>478.717094017094</v>
      </c>
    </row>
    <row r="409" ht="15.75" spans="1:5">
      <c r="A409" s="12">
        <v>408</v>
      </c>
      <c r="B409" s="12">
        <v>7</v>
      </c>
      <c r="C409" s="13">
        <v>45548.4004495949</v>
      </c>
      <c r="D409" s="14">
        <v>2155.3858974359</v>
      </c>
      <c r="E409" s="14">
        <v>550.696581196581</v>
      </c>
    </row>
    <row r="410" ht="15.75" spans="1:5">
      <c r="A410" s="12">
        <v>409</v>
      </c>
      <c r="B410" s="12">
        <v>7</v>
      </c>
      <c r="C410" s="13">
        <v>45548.4005074074</v>
      </c>
      <c r="D410" s="14">
        <v>2221.3670940171</v>
      </c>
      <c r="E410" s="14">
        <v>562.693162393162</v>
      </c>
    </row>
    <row r="411" ht="15.75" spans="1:5">
      <c r="A411" s="12">
        <v>410</v>
      </c>
      <c r="B411" s="12">
        <v>7</v>
      </c>
      <c r="C411" s="13">
        <v>45548.4005652199</v>
      </c>
      <c r="D411" s="14">
        <v>2332.33547008547</v>
      </c>
      <c r="E411" s="14">
        <v>505.709401709401</v>
      </c>
    </row>
    <row r="412" ht="15.75" spans="1:5">
      <c r="A412" s="12">
        <v>411</v>
      </c>
      <c r="B412" s="12">
        <v>7</v>
      </c>
      <c r="C412" s="13">
        <v>45548.4006230324</v>
      </c>
      <c r="D412" s="14">
        <v>2335.33461538462</v>
      </c>
      <c r="E412" s="14">
        <v>544.69829059829</v>
      </c>
    </row>
    <row r="413" ht="15.75" spans="1:5">
      <c r="A413" s="12">
        <v>412</v>
      </c>
      <c r="B413" s="12">
        <v>7</v>
      </c>
      <c r="C413" s="13">
        <v>45548.4006808449</v>
      </c>
      <c r="D413" s="14">
        <v>2332.33547008547</v>
      </c>
      <c r="E413" s="14">
        <v>622.676068376068</v>
      </c>
    </row>
    <row r="414" ht="15.75" spans="1:5">
      <c r="A414" s="12">
        <v>413</v>
      </c>
      <c r="B414" s="12">
        <v>7</v>
      </c>
      <c r="C414" s="13">
        <v>45548.4007386574</v>
      </c>
      <c r="D414" s="14">
        <v>2272.35256410256</v>
      </c>
      <c r="E414" s="14">
        <v>634.672649572649</v>
      </c>
    </row>
    <row r="415" ht="15.75" spans="1:5">
      <c r="A415" s="12">
        <v>414</v>
      </c>
      <c r="B415" s="12">
        <v>7</v>
      </c>
      <c r="C415" s="13">
        <v>45548.4007964699</v>
      </c>
      <c r="D415" s="14">
        <v>2167.38247863248</v>
      </c>
      <c r="E415" s="14">
        <v>634.672649572649</v>
      </c>
    </row>
    <row r="416" ht="15.75" spans="1:5">
      <c r="A416" s="12">
        <v>415</v>
      </c>
      <c r="B416" s="12">
        <v>7</v>
      </c>
      <c r="C416" s="13">
        <v>45548.4008542824</v>
      </c>
      <c r="D416" s="14">
        <v>2158.38504273504</v>
      </c>
      <c r="E416" s="14">
        <v>751.639316239316</v>
      </c>
    </row>
    <row r="417" ht="15.75" spans="1:5">
      <c r="A417" s="12">
        <v>416</v>
      </c>
      <c r="B417" s="12">
        <v>7</v>
      </c>
      <c r="C417" s="13">
        <v>45548.4009120949</v>
      </c>
      <c r="D417" s="14">
        <v>2167.38247863248</v>
      </c>
      <c r="E417" s="14">
        <v>820.619658119658</v>
      </c>
    </row>
    <row r="418" ht="15.75" spans="1:5">
      <c r="A418" s="12">
        <v>417</v>
      </c>
      <c r="B418" s="12">
        <v>7</v>
      </c>
      <c r="C418" s="13">
        <v>45548.4009699074</v>
      </c>
      <c r="D418" s="14">
        <v>2170.38162393162</v>
      </c>
      <c r="E418" s="14">
        <v>928.588888888889</v>
      </c>
    </row>
    <row r="419" ht="15.75" spans="1:5">
      <c r="A419" s="12">
        <v>418</v>
      </c>
      <c r="B419" s="12">
        <v>7</v>
      </c>
      <c r="C419" s="13">
        <v>45548.4010277199</v>
      </c>
      <c r="D419" s="14">
        <v>2335.33461538462</v>
      </c>
      <c r="E419" s="14">
        <v>979.574358974359</v>
      </c>
    </row>
    <row r="420" ht="15.75" spans="1:5">
      <c r="A420" s="12">
        <v>419</v>
      </c>
      <c r="B420" s="12">
        <v>7</v>
      </c>
      <c r="C420" s="13">
        <v>45548.4010855324</v>
      </c>
      <c r="D420" s="14">
        <v>2293.34658119658</v>
      </c>
      <c r="E420" s="14">
        <v>1102.53931623932</v>
      </c>
    </row>
    <row r="421" ht="15.75" spans="1:5">
      <c r="A421" s="12">
        <v>420</v>
      </c>
      <c r="B421" s="12">
        <v>7</v>
      </c>
      <c r="C421" s="13">
        <v>45548.4011433449</v>
      </c>
      <c r="D421" s="14">
        <v>2296.34572649573</v>
      </c>
      <c r="E421" s="14">
        <v>1234.50170940171</v>
      </c>
    </row>
    <row r="422" ht="15.75" spans="1:5">
      <c r="A422" s="12">
        <v>421</v>
      </c>
      <c r="B422" s="12">
        <v>7</v>
      </c>
      <c r="C422" s="13">
        <v>45548.4012011574</v>
      </c>
      <c r="D422" s="14">
        <v>2119.39615384615</v>
      </c>
      <c r="E422" s="14">
        <v>1246.49829059829</v>
      </c>
    </row>
    <row r="423" ht="15.75" spans="1:5">
      <c r="A423" s="12">
        <v>422</v>
      </c>
      <c r="B423" s="12">
        <v>7</v>
      </c>
      <c r="C423" s="13">
        <v>45548.4012589699</v>
      </c>
      <c r="D423" s="14">
        <v>1630.53547008547</v>
      </c>
      <c r="E423" s="14">
        <v>1285.48717948718</v>
      </c>
    </row>
    <row r="424" ht="15.75" spans="1:5">
      <c r="A424" s="12">
        <v>423</v>
      </c>
      <c r="B424" s="12">
        <v>7</v>
      </c>
      <c r="C424" s="13">
        <v>45548.4013167824</v>
      </c>
      <c r="D424" s="14">
        <v>1267.63888888889</v>
      </c>
      <c r="E424" s="14">
        <v>1297.48376068376</v>
      </c>
    </row>
    <row r="425" ht="15.75" spans="1:5">
      <c r="A425" s="12">
        <v>424</v>
      </c>
      <c r="B425" s="12">
        <v>7</v>
      </c>
      <c r="C425" s="13">
        <v>45548.4013745949</v>
      </c>
      <c r="D425" s="14">
        <v>1318.62435897436</v>
      </c>
      <c r="E425" s="14">
        <v>1141.52820512821</v>
      </c>
    </row>
    <row r="426" ht="15.75" spans="1:5">
      <c r="A426" s="12">
        <v>425</v>
      </c>
      <c r="B426" s="12">
        <v>7</v>
      </c>
      <c r="C426" s="13">
        <v>45548.4014324074</v>
      </c>
      <c r="D426" s="14">
        <v>1393.60299145299</v>
      </c>
      <c r="E426" s="14">
        <v>1060.55128205128</v>
      </c>
    </row>
    <row r="427" ht="15.75" spans="1:5">
      <c r="A427" s="12">
        <v>426</v>
      </c>
      <c r="B427" s="12">
        <v>7</v>
      </c>
      <c r="C427" s="13">
        <v>45548.4014902199</v>
      </c>
      <c r="D427" s="14">
        <v>1327.62179487179</v>
      </c>
      <c r="E427" s="14">
        <v>1048.5547008547</v>
      </c>
    </row>
    <row r="428" ht="15.75" spans="1:5">
      <c r="A428" s="12">
        <v>427</v>
      </c>
      <c r="B428" s="12">
        <v>7</v>
      </c>
      <c r="C428" s="13">
        <v>45548.4015480324</v>
      </c>
      <c r="D428" s="14">
        <v>1228.65</v>
      </c>
      <c r="E428" s="14">
        <v>1057.55213675214</v>
      </c>
    </row>
    <row r="429" ht="15.75" spans="1:5">
      <c r="A429" s="12">
        <v>428</v>
      </c>
      <c r="B429" s="12">
        <v>7</v>
      </c>
      <c r="C429" s="13">
        <v>45548.4016058449</v>
      </c>
      <c r="D429" s="14">
        <v>1390.60384615385</v>
      </c>
      <c r="E429" s="14">
        <v>961.579487179487</v>
      </c>
    </row>
    <row r="430" ht="15.75" spans="1:5">
      <c r="A430" s="12">
        <v>429</v>
      </c>
      <c r="B430" s="12">
        <v>7</v>
      </c>
      <c r="C430" s="13">
        <v>45548.4016636574</v>
      </c>
      <c r="D430" s="14">
        <v>1390.60384615385</v>
      </c>
      <c r="E430" s="14">
        <v>898.597435897436</v>
      </c>
    </row>
    <row r="431" ht="15.75" spans="1:5">
      <c r="A431" s="12">
        <v>430</v>
      </c>
      <c r="B431" s="12">
        <v>7</v>
      </c>
      <c r="C431" s="13">
        <v>45548.4017214699</v>
      </c>
      <c r="D431" s="14">
        <v>1333.62008547009</v>
      </c>
      <c r="E431" s="14">
        <v>871.605128205128</v>
      </c>
    </row>
    <row r="432" ht="15.75" spans="1:5">
      <c r="A432" s="12">
        <v>431</v>
      </c>
      <c r="B432" s="12">
        <v>7</v>
      </c>
      <c r="C432" s="13">
        <v>45548.4017792824</v>
      </c>
      <c r="D432" s="14">
        <v>1327.62179487179</v>
      </c>
      <c r="E432" s="14">
        <v>787.62905982906</v>
      </c>
    </row>
    <row r="433" ht="15.75" spans="1:5">
      <c r="A433" s="12">
        <v>432</v>
      </c>
      <c r="B433" s="12">
        <v>7</v>
      </c>
      <c r="C433" s="13">
        <v>45548.4018370949</v>
      </c>
      <c r="D433" s="14">
        <v>1396.60213675214</v>
      </c>
      <c r="E433" s="14">
        <v>682.658974358974</v>
      </c>
    </row>
    <row r="434" ht="15.75" spans="1:5">
      <c r="A434" s="12">
        <v>433</v>
      </c>
      <c r="B434" s="12">
        <v>7</v>
      </c>
      <c r="C434" s="13">
        <v>45548.4018949074</v>
      </c>
      <c r="D434" s="14">
        <v>1396.60213675214</v>
      </c>
      <c r="E434" s="14">
        <v>637.671794871795</v>
      </c>
    </row>
    <row r="435" ht="15.75" spans="1:5">
      <c r="A435" s="12">
        <v>434</v>
      </c>
      <c r="B435" s="12">
        <v>7</v>
      </c>
      <c r="C435" s="13">
        <v>45548.4019527199</v>
      </c>
      <c r="D435" s="14">
        <v>1261.6405982906</v>
      </c>
      <c r="E435" s="14">
        <v>625.675213675214</v>
      </c>
    </row>
    <row r="436" ht="15.75" spans="1:5">
      <c r="A436" s="12">
        <v>435</v>
      </c>
      <c r="B436" s="12">
        <v>7</v>
      </c>
      <c r="C436" s="13">
        <v>45548.4020105324</v>
      </c>
      <c r="D436" s="14">
        <v>1387.6047008547</v>
      </c>
      <c r="E436" s="14">
        <v>433.729914529914</v>
      </c>
    </row>
    <row r="437" ht="15.75" spans="1:5">
      <c r="A437" s="12">
        <v>436</v>
      </c>
      <c r="B437" s="12">
        <v>7</v>
      </c>
      <c r="C437" s="13">
        <v>45548.4020683449</v>
      </c>
      <c r="D437" s="14">
        <v>1360.61239316239</v>
      </c>
      <c r="E437" s="14">
        <v>298.768376068376</v>
      </c>
    </row>
    <row r="438" ht="15.75" spans="1:5">
      <c r="A438" s="12">
        <v>437</v>
      </c>
      <c r="B438" s="12">
        <v>7</v>
      </c>
      <c r="C438" s="13">
        <v>45548.4021261574</v>
      </c>
      <c r="D438" s="14">
        <v>1615.53974358974</v>
      </c>
      <c r="E438" s="14">
        <v>355.752136752137</v>
      </c>
    </row>
    <row r="439" ht="15.75" spans="1:5">
      <c r="A439" s="12">
        <v>438</v>
      </c>
      <c r="B439" s="12">
        <v>7</v>
      </c>
      <c r="C439" s="13">
        <v>45548.4021839699</v>
      </c>
      <c r="D439" s="14">
        <v>1624.53717948718</v>
      </c>
      <c r="E439" s="14">
        <v>430.730769230769</v>
      </c>
    </row>
    <row r="440" ht="15.75" spans="1:5">
      <c r="A440" s="12">
        <v>439</v>
      </c>
      <c r="B440" s="12">
        <v>7</v>
      </c>
      <c r="C440" s="13">
        <v>45548.4022417824</v>
      </c>
      <c r="D440" s="14">
        <v>1669.52435897436</v>
      </c>
      <c r="E440" s="14">
        <v>316.763247863248</v>
      </c>
    </row>
    <row r="441" ht="15.75" spans="1:5">
      <c r="A441" s="12">
        <v>440</v>
      </c>
      <c r="B441" s="12">
        <v>7</v>
      </c>
      <c r="C441" s="13">
        <v>45548.4022995949</v>
      </c>
      <c r="D441" s="14">
        <v>1915.45427350427</v>
      </c>
      <c r="E441" s="14">
        <v>295.76923076923</v>
      </c>
    </row>
    <row r="442" ht="15.75" spans="1:5">
      <c r="A442" s="12">
        <v>441</v>
      </c>
      <c r="B442" s="12">
        <v>7</v>
      </c>
      <c r="C442" s="13">
        <v>45548.4023574074</v>
      </c>
      <c r="D442" s="14">
        <v>2041.41837606838</v>
      </c>
      <c r="E442" s="14">
        <v>280.773504273504</v>
      </c>
    </row>
    <row r="443" ht="15.75" spans="1:5">
      <c r="A443" s="12">
        <v>442</v>
      </c>
      <c r="B443" s="12">
        <v>7</v>
      </c>
      <c r="C443" s="13">
        <v>45548.4024152199</v>
      </c>
      <c r="D443" s="14">
        <v>2110.39871794872</v>
      </c>
      <c r="E443" s="14">
        <v>325.760683760684</v>
      </c>
    </row>
    <row r="444" ht="15.75" spans="1:5">
      <c r="A444" s="12">
        <v>443</v>
      </c>
      <c r="B444" s="12">
        <v>7</v>
      </c>
      <c r="C444" s="13">
        <v>45548.4024730324</v>
      </c>
      <c r="D444" s="14">
        <v>2287.34829059829</v>
      </c>
      <c r="E444" s="14">
        <v>355.752136752137</v>
      </c>
    </row>
    <row r="445" ht="15.75" spans="1:5">
      <c r="A445" s="12">
        <v>444</v>
      </c>
      <c r="B445" s="12">
        <v>7</v>
      </c>
      <c r="C445" s="13">
        <v>45548.4025308449</v>
      </c>
      <c r="D445" s="14">
        <v>2137.39102564103</v>
      </c>
      <c r="E445" s="14">
        <v>475.717948717948</v>
      </c>
    </row>
    <row r="446" ht="15.75" spans="1:5">
      <c r="A446" s="12">
        <v>445</v>
      </c>
      <c r="B446" s="12">
        <v>7</v>
      </c>
      <c r="C446" s="13">
        <v>45548.4025886574</v>
      </c>
      <c r="D446" s="14">
        <v>2263.35512820513</v>
      </c>
      <c r="E446" s="14">
        <v>520.705128205128</v>
      </c>
    </row>
    <row r="447" ht="15.75" spans="1:5">
      <c r="A447" s="12">
        <v>446</v>
      </c>
      <c r="B447" s="12">
        <v>7</v>
      </c>
      <c r="C447" s="13">
        <v>45548.4026464699</v>
      </c>
      <c r="D447" s="14">
        <v>2227.36538461539</v>
      </c>
      <c r="E447" s="14">
        <v>613.678632478632</v>
      </c>
    </row>
    <row r="448" ht="15.75" spans="1:5">
      <c r="A448" s="12">
        <v>447</v>
      </c>
      <c r="B448" s="12">
        <v>7</v>
      </c>
      <c r="C448" s="13">
        <v>45548.4027042824</v>
      </c>
      <c r="D448" s="14">
        <v>2131.39273504274</v>
      </c>
      <c r="E448" s="14">
        <v>745.641025641026</v>
      </c>
    </row>
    <row r="449" ht="15.75" spans="1:5">
      <c r="A449" s="12">
        <v>448</v>
      </c>
      <c r="B449" s="12">
        <v>7</v>
      </c>
      <c r="C449" s="13">
        <v>45548.4027620949</v>
      </c>
      <c r="D449" s="14">
        <v>2119.39615384615</v>
      </c>
      <c r="E449" s="14">
        <v>1081.5452991453</v>
      </c>
    </row>
    <row r="450" ht="15.75" spans="1:5">
      <c r="A450" s="12">
        <v>449</v>
      </c>
      <c r="B450" s="12">
        <v>7</v>
      </c>
      <c r="C450" s="13">
        <v>45548.4028199074</v>
      </c>
      <c r="D450" s="14">
        <v>2062.41239316239</v>
      </c>
      <c r="E450" s="14">
        <v>1282.48803418803</v>
      </c>
    </row>
    <row r="451" ht="15.75" spans="1:5">
      <c r="A451" s="12">
        <v>450</v>
      </c>
      <c r="B451" s="12">
        <v>7</v>
      </c>
      <c r="C451" s="13">
        <v>45548.4028777199</v>
      </c>
      <c r="D451" s="14">
        <v>1927.45085470086</v>
      </c>
      <c r="E451" s="14">
        <v>1315.47863247863</v>
      </c>
    </row>
    <row r="452" ht="15.75" spans="1:5">
      <c r="A452" s="12">
        <v>451</v>
      </c>
      <c r="B452" s="12">
        <v>7</v>
      </c>
      <c r="C452" s="13">
        <v>45548.4029355324</v>
      </c>
      <c r="D452" s="14">
        <v>1771.4952991453</v>
      </c>
      <c r="E452" s="14">
        <v>1480.43162393162</v>
      </c>
    </row>
    <row r="453" ht="15.75" spans="1:5">
      <c r="A453" s="12">
        <v>452</v>
      </c>
      <c r="B453" s="12">
        <v>7</v>
      </c>
      <c r="C453" s="13">
        <v>45548.4029933449</v>
      </c>
      <c r="D453" s="14">
        <v>1777.49358974359</v>
      </c>
      <c r="E453" s="14">
        <v>1534.41623931624</v>
      </c>
    </row>
    <row r="454" ht="15.75" spans="1:5">
      <c r="A454" s="12">
        <v>453</v>
      </c>
      <c r="B454" s="12">
        <v>7</v>
      </c>
      <c r="C454" s="13">
        <v>45548.4030511574</v>
      </c>
      <c r="D454" s="14">
        <v>1849.47307692308</v>
      </c>
      <c r="E454" s="14">
        <v>1858.32393162393</v>
      </c>
    </row>
    <row r="455" ht="15.75" spans="1:5">
      <c r="A455" s="12">
        <v>454</v>
      </c>
      <c r="B455" s="12">
        <v>7</v>
      </c>
      <c r="C455" s="13">
        <v>45548.4031089699</v>
      </c>
      <c r="D455" s="14">
        <v>1582.54914529915</v>
      </c>
      <c r="E455" s="14">
        <v>2197.22735042735</v>
      </c>
    </row>
    <row r="456" ht="15.75" spans="1:5">
      <c r="A456" s="12">
        <v>455</v>
      </c>
      <c r="B456" s="12">
        <v>7</v>
      </c>
      <c r="C456" s="13">
        <v>45548.4031667824</v>
      </c>
      <c r="D456" s="14">
        <v>1606.54230769231</v>
      </c>
      <c r="E456" s="14">
        <v>2272.20598290598</v>
      </c>
    </row>
    <row r="457" ht="15.75" spans="1:5">
      <c r="A457" s="12">
        <v>456</v>
      </c>
      <c r="B457" s="12">
        <v>8</v>
      </c>
      <c r="C457" s="13">
        <v>45548.3986574074</v>
      </c>
      <c r="D457" s="14">
        <v>1660.52692307692</v>
      </c>
      <c r="E457" s="14">
        <v>1855.32478632479</v>
      </c>
    </row>
    <row r="458" ht="15.75" spans="1:5">
      <c r="A458" s="12">
        <v>457</v>
      </c>
      <c r="B458" s="12">
        <v>8</v>
      </c>
      <c r="C458" s="13">
        <v>45548.3987152778</v>
      </c>
      <c r="D458" s="14">
        <v>1879.46452991453</v>
      </c>
      <c r="E458" s="14">
        <v>1723.36239316239</v>
      </c>
    </row>
    <row r="459" ht="15.75" spans="1:5">
      <c r="A459" s="12">
        <v>458</v>
      </c>
      <c r="B459" s="12">
        <v>8</v>
      </c>
      <c r="C459" s="13">
        <v>45548.3987731481</v>
      </c>
      <c r="D459" s="14">
        <v>1801.48675213675</v>
      </c>
      <c r="E459" s="14">
        <v>1555.41025641026</v>
      </c>
    </row>
    <row r="460" ht="15.75" spans="1:5">
      <c r="A460" s="12">
        <v>459</v>
      </c>
      <c r="B460" s="12">
        <v>8</v>
      </c>
      <c r="C460" s="13">
        <v>45548.3988308449</v>
      </c>
      <c r="D460" s="14">
        <v>1780.49273504274</v>
      </c>
      <c r="E460" s="14">
        <v>1153.52478632479</v>
      </c>
    </row>
    <row r="461" ht="15.75" spans="1:5">
      <c r="A461" s="12">
        <v>460</v>
      </c>
      <c r="B461" s="12">
        <v>8</v>
      </c>
      <c r="C461" s="13">
        <v>45548.3988886574</v>
      </c>
      <c r="D461" s="14">
        <v>1738.5047008547</v>
      </c>
      <c r="E461" s="14">
        <v>1018.56324786325</v>
      </c>
    </row>
    <row r="462" ht="15.75" spans="1:5">
      <c r="A462" s="12">
        <v>461</v>
      </c>
      <c r="B462" s="12">
        <v>8</v>
      </c>
      <c r="C462" s="13">
        <v>45548.3989464699</v>
      </c>
      <c r="D462" s="14">
        <v>1765.49700854701</v>
      </c>
      <c r="E462" s="14">
        <v>859.608547008547</v>
      </c>
    </row>
    <row r="463" ht="15.75" spans="1:5">
      <c r="A463" s="12">
        <v>462</v>
      </c>
      <c r="B463" s="12">
        <v>8</v>
      </c>
      <c r="C463" s="13">
        <v>45548.3990042824</v>
      </c>
      <c r="D463" s="14">
        <v>1807.48504273504</v>
      </c>
      <c r="E463" s="14">
        <v>772.633333333333</v>
      </c>
    </row>
    <row r="464" ht="15.75" spans="1:5">
      <c r="A464" s="12">
        <v>463</v>
      </c>
      <c r="B464" s="12">
        <v>8</v>
      </c>
      <c r="C464" s="13">
        <v>45548.3990620949</v>
      </c>
      <c r="D464" s="14">
        <v>1636.53376068376</v>
      </c>
      <c r="E464" s="14">
        <v>1219.50598290598</v>
      </c>
    </row>
    <row r="465" ht="15.75" spans="1:5">
      <c r="A465" s="12">
        <v>464</v>
      </c>
      <c r="B465" s="12">
        <v>8</v>
      </c>
      <c r="C465" s="13">
        <v>45548.3991199074</v>
      </c>
      <c r="D465" s="14">
        <v>1393.60299145299</v>
      </c>
      <c r="E465" s="14">
        <v>1264.49316239316</v>
      </c>
    </row>
    <row r="466" ht="15.75" spans="1:5">
      <c r="A466" s="12">
        <v>465</v>
      </c>
      <c r="B466" s="12">
        <v>8</v>
      </c>
      <c r="C466" s="13">
        <v>45548.3991777199</v>
      </c>
      <c r="D466" s="14">
        <v>1315.62521367521</v>
      </c>
      <c r="E466" s="14">
        <v>1231.50256410256</v>
      </c>
    </row>
    <row r="467" ht="15.75" spans="1:5">
      <c r="A467" s="12">
        <v>466</v>
      </c>
      <c r="B467" s="12">
        <v>8</v>
      </c>
      <c r="C467" s="13">
        <v>45548.3992355324</v>
      </c>
      <c r="D467" s="14">
        <v>1204.65683760684</v>
      </c>
      <c r="E467" s="14">
        <v>1246.49829059829</v>
      </c>
    </row>
    <row r="468" ht="15.75" spans="1:5">
      <c r="A468" s="12">
        <v>467</v>
      </c>
      <c r="B468" s="12">
        <v>8</v>
      </c>
      <c r="C468" s="13">
        <v>45548.3992933449</v>
      </c>
      <c r="D468" s="14">
        <v>1207.65598290598</v>
      </c>
      <c r="E468" s="14">
        <v>1204.51025641026</v>
      </c>
    </row>
    <row r="469" ht="15.75" spans="1:5">
      <c r="A469" s="12">
        <v>468</v>
      </c>
      <c r="B469" s="12">
        <v>8</v>
      </c>
      <c r="C469" s="13">
        <v>45548.3993511574</v>
      </c>
      <c r="D469" s="14">
        <v>1378.60726495726</v>
      </c>
      <c r="E469" s="14">
        <v>1093.54188034188</v>
      </c>
    </row>
    <row r="470" ht="15.75" spans="1:5">
      <c r="A470" s="12">
        <v>469</v>
      </c>
      <c r="B470" s="12">
        <v>8</v>
      </c>
      <c r="C470" s="13">
        <v>45548.3994089699</v>
      </c>
      <c r="D470" s="14">
        <v>1393.60299145299</v>
      </c>
      <c r="E470" s="14">
        <v>1138.52905982906</v>
      </c>
    </row>
    <row r="471" ht="15.75" spans="1:5">
      <c r="A471" s="12">
        <v>470</v>
      </c>
      <c r="B471" s="12">
        <v>8</v>
      </c>
      <c r="C471" s="13">
        <v>45548.3994667824</v>
      </c>
      <c r="D471" s="14">
        <v>1312.62606837607</v>
      </c>
      <c r="E471" s="14">
        <v>1024.56153846154</v>
      </c>
    </row>
    <row r="472" ht="15.75" spans="1:5">
      <c r="A472" s="12">
        <v>471</v>
      </c>
      <c r="B472" s="12">
        <v>8</v>
      </c>
      <c r="C472" s="13">
        <v>45548.3995245949</v>
      </c>
      <c r="D472" s="14">
        <v>1372.60897435897</v>
      </c>
      <c r="E472" s="14">
        <v>955.581196581197</v>
      </c>
    </row>
    <row r="473" ht="15.75" spans="1:5">
      <c r="A473" s="12">
        <v>472</v>
      </c>
      <c r="B473" s="12">
        <v>8</v>
      </c>
      <c r="C473" s="13">
        <v>45548.3995824074</v>
      </c>
      <c r="D473" s="14">
        <v>1360.61239316239</v>
      </c>
      <c r="E473" s="14">
        <v>787.62905982906</v>
      </c>
    </row>
    <row r="474" ht="15.75" spans="1:5">
      <c r="A474" s="12">
        <v>473</v>
      </c>
      <c r="B474" s="12">
        <v>8</v>
      </c>
      <c r="C474" s="13">
        <v>45548.3996402199</v>
      </c>
      <c r="D474" s="14">
        <v>1354.6141025641</v>
      </c>
      <c r="E474" s="14">
        <v>649.668376068376</v>
      </c>
    </row>
    <row r="475" ht="15.75" spans="1:5">
      <c r="A475" s="12">
        <v>474</v>
      </c>
      <c r="B475" s="12">
        <v>8</v>
      </c>
      <c r="C475" s="13">
        <v>45548.3996980324</v>
      </c>
      <c r="D475" s="14">
        <v>1249.64401709402</v>
      </c>
      <c r="E475" s="14">
        <v>640.67094017094</v>
      </c>
    </row>
    <row r="476" ht="15.75" spans="1:5">
      <c r="A476" s="12">
        <v>475</v>
      </c>
      <c r="B476" s="12">
        <v>8</v>
      </c>
      <c r="C476" s="13">
        <v>45548.3997558449</v>
      </c>
      <c r="D476" s="14">
        <v>1270.63803418803</v>
      </c>
      <c r="E476" s="14">
        <v>517.705982905983</v>
      </c>
    </row>
    <row r="477" ht="15.75" spans="1:5">
      <c r="A477" s="12">
        <v>476</v>
      </c>
      <c r="B477" s="12">
        <v>8</v>
      </c>
      <c r="C477" s="13">
        <v>45548.3998136574</v>
      </c>
      <c r="D477" s="14">
        <v>1261.6405982906</v>
      </c>
      <c r="E477" s="14">
        <v>316.763247863248</v>
      </c>
    </row>
    <row r="478" ht="15.75" spans="1:5">
      <c r="A478" s="12">
        <v>477</v>
      </c>
      <c r="B478" s="12">
        <v>8</v>
      </c>
      <c r="C478" s="13">
        <v>45548.3998714699</v>
      </c>
      <c r="D478" s="14">
        <v>1336.61923076923</v>
      </c>
      <c r="E478" s="14">
        <v>436.72905982906</v>
      </c>
    </row>
    <row r="479" ht="15.75" spans="1:5">
      <c r="A479" s="12">
        <v>478</v>
      </c>
      <c r="B479" s="12">
        <v>8</v>
      </c>
      <c r="C479" s="13">
        <v>45548.3999292824</v>
      </c>
      <c r="D479" s="14">
        <v>1375.60811965812</v>
      </c>
      <c r="E479" s="14">
        <v>325.760683760684</v>
      </c>
    </row>
    <row r="480" ht="15.75" spans="1:5">
      <c r="A480" s="12">
        <v>479</v>
      </c>
      <c r="B480" s="12">
        <v>8</v>
      </c>
      <c r="C480" s="13">
        <v>45548.3999870949</v>
      </c>
      <c r="D480" s="14">
        <v>1606.54230769231</v>
      </c>
      <c r="E480" s="14">
        <v>364.749572649573</v>
      </c>
    </row>
    <row r="481" ht="15.75" spans="1:5">
      <c r="A481" s="12">
        <v>480</v>
      </c>
      <c r="B481" s="12">
        <v>8</v>
      </c>
      <c r="C481" s="13">
        <v>45548.4000449074</v>
      </c>
      <c r="D481" s="14">
        <v>1993.43205128205</v>
      </c>
      <c r="E481" s="14">
        <v>316.763247863248</v>
      </c>
    </row>
    <row r="482" ht="15.75" spans="1:5">
      <c r="A482" s="12">
        <v>481</v>
      </c>
      <c r="B482" s="12">
        <v>8</v>
      </c>
      <c r="C482" s="13">
        <v>45548.4001027199</v>
      </c>
      <c r="D482" s="14">
        <v>2254.35769230769</v>
      </c>
      <c r="E482" s="14">
        <v>310.764957264957</v>
      </c>
    </row>
    <row r="483" ht="15.75" spans="1:5">
      <c r="A483" s="12">
        <v>482</v>
      </c>
      <c r="B483" s="12">
        <v>8</v>
      </c>
      <c r="C483" s="13">
        <v>45548.4001605324</v>
      </c>
      <c r="D483" s="14">
        <v>2296.34572649573</v>
      </c>
      <c r="E483" s="14">
        <v>355.752136752137</v>
      </c>
    </row>
    <row r="484" ht="15.75" spans="1:5">
      <c r="A484" s="12">
        <v>483</v>
      </c>
      <c r="B484" s="12">
        <v>8</v>
      </c>
      <c r="C484" s="13">
        <v>45548.4002183449</v>
      </c>
      <c r="D484" s="14">
        <v>2167.38247863248</v>
      </c>
      <c r="E484" s="14">
        <v>466.720512820513</v>
      </c>
    </row>
    <row r="485" ht="15.75" spans="1:5">
      <c r="A485" s="12">
        <v>484</v>
      </c>
      <c r="B485" s="12">
        <v>8</v>
      </c>
      <c r="C485" s="13">
        <v>45548.4002761574</v>
      </c>
      <c r="D485" s="14">
        <v>2182.37820512821</v>
      </c>
      <c r="E485" s="14">
        <v>553.695726495726</v>
      </c>
    </row>
    <row r="486" ht="15.75" spans="1:5">
      <c r="A486" s="12">
        <v>485</v>
      </c>
      <c r="B486" s="12">
        <v>8</v>
      </c>
      <c r="C486" s="13">
        <v>45548.4003339699</v>
      </c>
      <c r="D486" s="14">
        <v>2176.37991452992</v>
      </c>
      <c r="E486" s="14">
        <v>904.595726495726</v>
      </c>
    </row>
    <row r="487" ht="15.75" spans="1:5">
      <c r="A487" s="12">
        <v>486</v>
      </c>
      <c r="B487" s="12">
        <v>8</v>
      </c>
      <c r="C487" s="13">
        <v>45548.4003917824</v>
      </c>
      <c r="D487" s="14">
        <v>2236.36282051282</v>
      </c>
      <c r="E487" s="14">
        <v>1066.54957264957</v>
      </c>
    </row>
    <row r="488" ht="15.75" spans="1:5">
      <c r="A488" s="12">
        <v>487</v>
      </c>
      <c r="B488" s="12">
        <v>8</v>
      </c>
      <c r="C488" s="13">
        <v>45548.4004495949</v>
      </c>
      <c r="D488" s="14">
        <v>2191.37564102564</v>
      </c>
      <c r="E488" s="14">
        <v>1234.50170940171</v>
      </c>
    </row>
    <row r="489" ht="15.75" spans="1:5">
      <c r="A489" s="12">
        <v>488</v>
      </c>
      <c r="B489" s="12">
        <v>8</v>
      </c>
      <c r="C489" s="13">
        <v>45548.4005074074</v>
      </c>
      <c r="D489" s="14">
        <v>2047.41666666667</v>
      </c>
      <c r="E489" s="14">
        <v>1231.50256410256</v>
      </c>
    </row>
    <row r="490" ht="15.75" spans="1:5">
      <c r="A490" s="12">
        <v>489</v>
      </c>
      <c r="B490" s="12">
        <v>8</v>
      </c>
      <c r="C490" s="13">
        <v>45548.4005652199</v>
      </c>
      <c r="D490" s="14">
        <v>1831.47820512821</v>
      </c>
      <c r="E490" s="14">
        <v>1291.48547008547</v>
      </c>
    </row>
    <row r="491" ht="15.75" spans="1:5">
      <c r="A491" s="12">
        <v>490</v>
      </c>
      <c r="B491" s="12">
        <v>8</v>
      </c>
      <c r="C491" s="13">
        <v>45548.4006230324</v>
      </c>
      <c r="D491" s="14">
        <v>1372.60897435897</v>
      </c>
      <c r="E491" s="14">
        <v>1141.52820512821</v>
      </c>
    </row>
    <row r="492" ht="15.75" spans="1:5">
      <c r="A492" s="12">
        <v>491</v>
      </c>
      <c r="B492" s="12">
        <v>8</v>
      </c>
      <c r="C492" s="13">
        <v>45548.4006808449</v>
      </c>
      <c r="D492" s="14">
        <v>1390.60384615385</v>
      </c>
      <c r="E492" s="14">
        <v>1066.54957264957</v>
      </c>
    </row>
    <row r="493" ht="15.75" spans="1:5">
      <c r="A493" s="12">
        <v>492</v>
      </c>
      <c r="B493" s="12">
        <v>8</v>
      </c>
      <c r="C493" s="13">
        <v>45548.4007386574</v>
      </c>
      <c r="D493" s="14">
        <v>1261.6405982906</v>
      </c>
      <c r="E493" s="14">
        <v>1057.55213675214</v>
      </c>
    </row>
    <row r="494" ht="15.75" spans="1:5">
      <c r="A494" s="12">
        <v>493</v>
      </c>
      <c r="B494" s="12">
        <v>8</v>
      </c>
      <c r="C494" s="13">
        <v>45548.4007964699</v>
      </c>
      <c r="D494" s="14">
        <v>1339.61837606838</v>
      </c>
      <c r="E494" s="14">
        <v>937.586324786325</v>
      </c>
    </row>
    <row r="495" ht="15.75" spans="1:5">
      <c r="A495" s="12">
        <v>494</v>
      </c>
      <c r="B495" s="12">
        <v>8</v>
      </c>
      <c r="C495" s="13">
        <v>45548.4008542824</v>
      </c>
      <c r="D495" s="14">
        <v>1399.60128205128</v>
      </c>
      <c r="E495" s="14">
        <v>703.652991452992</v>
      </c>
    </row>
    <row r="496" ht="15.75" spans="1:5">
      <c r="A496" s="12">
        <v>495</v>
      </c>
      <c r="B496" s="12">
        <v>8</v>
      </c>
      <c r="C496" s="13">
        <v>45548.4009120949</v>
      </c>
      <c r="D496" s="14">
        <v>1390.60384615385</v>
      </c>
      <c r="E496" s="14">
        <v>634.672649572649</v>
      </c>
    </row>
    <row r="497" ht="15.75" spans="1:5">
      <c r="A497" s="12">
        <v>496</v>
      </c>
      <c r="B497" s="12">
        <v>8</v>
      </c>
      <c r="C497" s="13">
        <v>45548.4009699074</v>
      </c>
      <c r="D497" s="14">
        <v>1315.62521367521</v>
      </c>
      <c r="E497" s="14">
        <v>634.672649572649</v>
      </c>
    </row>
    <row r="498" ht="15.75" spans="1:5">
      <c r="A498" s="12">
        <v>497</v>
      </c>
      <c r="B498" s="12">
        <v>8</v>
      </c>
      <c r="C498" s="13">
        <v>45548.4010277199</v>
      </c>
      <c r="D498" s="14">
        <v>1375.60811965812</v>
      </c>
      <c r="E498" s="14">
        <v>526.703418803419</v>
      </c>
    </row>
    <row r="499" ht="15.75" spans="1:5">
      <c r="A499" s="12">
        <v>498</v>
      </c>
      <c r="B499" s="12">
        <v>8</v>
      </c>
      <c r="C499" s="13">
        <v>45548.4010855324</v>
      </c>
      <c r="D499" s="14">
        <v>1252.64316239316</v>
      </c>
      <c r="E499" s="14">
        <v>400.739316239316</v>
      </c>
    </row>
    <row r="500" ht="15.75" spans="1:5">
      <c r="A500" s="12">
        <v>499</v>
      </c>
      <c r="B500" s="12">
        <v>8</v>
      </c>
      <c r="C500" s="13">
        <v>45548.4011433449</v>
      </c>
      <c r="D500" s="14">
        <v>1459.58418803419</v>
      </c>
      <c r="E500" s="14">
        <v>319.762393162393</v>
      </c>
    </row>
    <row r="501" ht="15.75" spans="1:5">
      <c r="A501" s="12">
        <v>500</v>
      </c>
      <c r="B501" s="12">
        <v>8</v>
      </c>
      <c r="C501" s="13">
        <v>45548.4012011574</v>
      </c>
      <c r="D501" s="14">
        <v>1642.53205128205</v>
      </c>
      <c r="E501" s="14">
        <v>328.759829059829</v>
      </c>
    </row>
    <row r="502" ht="15.75" spans="1:5">
      <c r="A502" s="12">
        <v>501</v>
      </c>
      <c r="B502" s="12">
        <v>8</v>
      </c>
      <c r="C502" s="13">
        <v>45548.4012589699</v>
      </c>
      <c r="D502" s="14">
        <v>1744.50299145299</v>
      </c>
      <c r="E502" s="14">
        <v>385.743589743589</v>
      </c>
    </row>
    <row r="503" ht="15.75" spans="1:5">
      <c r="A503" s="12">
        <v>502</v>
      </c>
      <c r="B503" s="12">
        <v>8</v>
      </c>
      <c r="C503" s="13">
        <v>45548.4013167824</v>
      </c>
      <c r="D503" s="14">
        <v>2017.42521367521</v>
      </c>
      <c r="E503" s="14">
        <v>307.765811965812</v>
      </c>
    </row>
    <row r="504" ht="15.75" spans="1:5">
      <c r="A504" s="12">
        <v>503</v>
      </c>
      <c r="B504" s="12">
        <v>8</v>
      </c>
      <c r="C504" s="13">
        <v>45548.4013745949</v>
      </c>
      <c r="D504" s="14">
        <v>2134.39188034188</v>
      </c>
      <c r="E504" s="14">
        <v>469.719658119658</v>
      </c>
    </row>
    <row r="505" ht="15.75" spans="1:5">
      <c r="A505" s="12">
        <v>504</v>
      </c>
      <c r="B505" s="12">
        <v>8</v>
      </c>
      <c r="C505" s="13">
        <v>45548.4014324074</v>
      </c>
      <c r="D505" s="14">
        <v>2167.38247863248</v>
      </c>
      <c r="E505" s="14">
        <v>739.642735042735</v>
      </c>
    </row>
    <row r="506" ht="15.75" spans="1:5">
      <c r="A506" s="12">
        <v>505</v>
      </c>
      <c r="B506" s="12">
        <v>8</v>
      </c>
      <c r="C506" s="13">
        <v>45548.4014902199</v>
      </c>
      <c r="D506" s="14">
        <v>2122.3952991453</v>
      </c>
      <c r="E506" s="14">
        <v>829.617094017094</v>
      </c>
    </row>
    <row r="507" ht="15.75" spans="1:5">
      <c r="A507" s="12">
        <v>506</v>
      </c>
      <c r="B507" s="12">
        <v>8</v>
      </c>
      <c r="C507" s="13">
        <v>45548.4015480324</v>
      </c>
      <c r="D507" s="14">
        <v>2122.3952991453</v>
      </c>
      <c r="E507" s="14">
        <v>1057.55213675214</v>
      </c>
    </row>
    <row r="508" ht="15.75" spans="1:5">
      <c r="A508" s="12">
        <v>507</v>
      </c>
      <c r="B508" s="12">
        <v>8</v>
      </c>
      <c r="C508" s="13">
        <v>45548.4016058449</v>
      </c>
      <c r="D508" s="14">
        <v>1603.54316239316</v>
      </c>
      <c r="E508" s="14">
        <v>1285.48717948718</v>
      </c>
    </row>
    <row r="509" ht="15.75" spans="1:5">
      <c r="A509" s="12">
        <v>508</v>
      </c>
      <c r="B509" s="12">
        <v>8</v>
      </c>
      <c r="C509" s="13">
        <v>45548.4016636574</v>
      </c>
      <c r="D509" s="14">
        <v>1753.50042735043</v>
      </c>
      <c r="E509" s="14">
        <v>1456.43846153846</v>
      </c>
    </row>
    <row r="510" ht="15.75" spans="1:5">
      <c r="A510" s="12">
        <v>509</v>
      </c>
      <c r="B510" s="12">
        <v>8</v>
      </c>
      <c r="C510" s="13">
        <v>45548.4017214699</v>
      </c>
      <c r="D510" s="14">
        <v>1636.53376068376</v>
      </c>
      <c r="E510" s="14">
        <v>2158.23846153846</v>
      </c>
    </row>
    <row r="511" ht="15.75" spans="1:5">
      <c r="A511" s="12">
        <v>510</v>
      </c>
      <c r="B511" s="1">
        <v>9</v>
      </c>
      <c r="C511" s="13">
        <v>45548.4017792824</v>
      </c>
      <c r="D511" s="14">
        <v>1861.46965811966</v>
      </c>
      <c r="E511" s="14">
        <v>1855.32478632479</v>
      </c>
    </row>
    <row r="512" ht="15.75" spans="1:5">
      <c r="A512" s="12">
        <v>511</v>
      </c>
      <c r="B512" s="1">
        <v>9</v>
      </c>
      <c r="C512" s="13">
        <v>45548.4018370949</v>
      </c>
      <c r="D512" s="14">
        <v>1723.50897435897</v>
      </c>
      <c r="E512" s="14">
        <v>1390.45726495727</v>
      </c>
    </row>
    <row r="513" ht="15.75" spans="1:5">
      <c r="A513" s="12">
        <v>512</v>
      </c>
      <c r="B513" s="1">
        <v>9</v>
      </c>
      <c r="C513" s="13">
        <v>45548.4018949074</v>
      </c>
      <c r="D513" s="14">
        <v>1771.4952991453</v>
      </c>
      <c r="E513" s="14">
        <v>1279.48888888889</v>
      </c>
    </row>
    <row r="514" ht="15.75" spans="1:5">
      <c r="A514" s="12">
        <v>513</v>
      </c>
      <c r="B514" s="1">
        <v>9</v>
      </c>
      <c r="C514" s="13">
        <v>45548.4019527199</v>
      </c>
      <c r="D514" s="14">
        <v>1183.66282051282</v>
      </c>
      <c r="E514" s="14">
        <v>1231.50256410256</v>
      </c>
    </row>
    <row r="515" ht="15.75" spans="1:5">
      <c r="A515" s="12">
        <v>514</v>
      </c>
      <c r="B515" s="1">
        <v>9</v>
      </c>
      <c r="C515" s="13">
        <v>45548.4020105324</v>
      </c>
      <c r="D515" s="14">
        <v>1144.67393162393</v>
      </c>
      <c r="E515" s="14">
        <v>916.592307692308</v>
      </c>
    </row>
    <row r="516" ht="15.75" spans="1:5">
      <c r="A516" s="12">
        <v>515</v>
      </c>
      <c r="B516" s="1">
        <v>9</v>
      </c>
      <c r="C516" s="13">
        <v>45548.4020683449</v>
      </c>
      <c r="D516" s="14">
        <v>1342.61752136752</v>
      </c>
      <c r="E516" s="14">
        <v>643.670085470085</v>
      </c>
    </row>
    <row r="517" ht="15.75" spans="1:5">
      <c r="A517" s="12">
        <v>516</v>
      </c>
      <c r="B517" s="1">
        <v>9</v>
      </c>
      <c r="C517" s="13">
        <v>45548.4021261574</v>
      </c>
      <c r="D517" s="14">
        <v>1204.65683760684</v>
      </c>
      <c r="E517" s="14">
        <v>316.763247863248</v>
      </c>
    </row>
    <row r="518" ht="15.75" spans="1:5">
      <c r="A518" s="12">
        <v>517</v>
      </c>
      <c r="B518" s="1">
        <v>9</v>
      </c>
      <c r="C518" s="13">
        <v>45548.4021839699</v>
      </c>
      <c r="D518" s="14">
        <v>1624.53717948718</v>
      </c>
      <c r="E518" s="14">
        <v>385.743589743589</v>
      </c>
    </row>
    <row r="519" ht="15.75" spans="1:5">
      <c r="A519" s="12">
        <v>518</v>
      </c>
      <c r="B519" s="1">
        <v>9</v>
      </c>
      <c r="C519" s="13">
        <v>45548.4022417824</v>
      </c>
      <c r="D519" s="14">
        <v>1777.49358974359</v>
      </c>
      <c r="E519" s="14">
        <v>325.760683760684</v>
      </c>
    </row>
    <row r="520" ht="15.75" spans="1:5">
      <c r="A520" s="12">
        <v>519</v>
      </c>
      <c r="B520" s="1">
        <v>9</v>
      </c>
      <c r="C520" s="13">
        <v>45548.4022995949</v>
      </c>
      <c r="D520" s="14">
        <v>1828.47905982906</v>
      </c>
      <c r="E520" s="14">
        <v>322.761538461538</v>
      </c>
    </row>
    <row r="521" ht="15.75" spans="1:5">
      <c r="A521" s="12">
        <v>520</v>
      </c>
      <c r="B521" s="1">
        <v>9</v>
      </c>
      <c r="C521" s="13">
        <v>45548.4023574074</v>
      </c>
      <c r="D521" s="14">
        <v>2329.33632478633</v>
      </c>
      <c r="E521" s="14">
        <v>403.738461538461</v>
      </c>
    </row>
    <row r="522" ht="15.75" spans="1:5">
      <c r="A522" s="12">
        <v>521</v>
      </c>
      <c r="B522" s="1">
        <v>9</v>
      </c>
      <c r="C522" s="13">
        <v>45548.4024152199</v>
      </c>
      <c r="D522" s="14">
        <v>2308.34230769231</v>
      </c>
      <c r="E522" s="14">
        <v>430.730769230769</v>
      </c>
    </row>
    <row r="523" ht="15.75" spans="1:5">
      <c r="A523" s="12">
        <v>522</v>
      </c>
      <c r="B523" s="1">
        <v>9</v>
      </c>
      <c r="C523" s="13">
        <v>45548.4024730324</v>
      </c>
      <c r="D523" s="14">
        <v>2200.37307692308</v>
      </c>
      <c r="E523" s="14">
        <v>730.645299145299</v>
      </c>
    </row>
    <row r="524" ht="15.75" spans="1:5">
      <c r="A524" s="12">
        <v>523</v>
      </c>
      <c r="B524" s="1">
        <v>9</v>
      </c>
      <c r="C524" s="13">
        <v>45548.4025308449</v>
      </c>
      <c r="D524" s="14">
        <v>2119.39615384615</v>
      </c>
      <c r="E524" s="14">
        <v>787.62905982906</v>
      </c>
    </row>
    <row r="525" ht="15.75" spans="1:5">
      <c r="A525" s="12">
        <v>524</v>
      </c>
      <c r="B525" s="1">
        <v>9</v>
      </c>
      <c r="C525" s="13">
        <v>45548.4025886574</v>
      </c>
      <c r="D525" s="14">
        <v>2245.36025641026</v>
      </c>
      <c r="E525" s="14">
        <v>1030.55982905983</v>
      </c>
    </row>
    <row r="526" ht="15.75" spans="1:5">
      <c r="A526" s="12">
        <v>525</v>
      </c>
      <c r="B526" s="1">
        <v>9</v>
      </c>
      <c r="C526" s="13">
        <v>45548.4026464699</v>
      </c>
      <c r="D526" s="14">
        <v>2224.36623931624</v>
      </c>
      <c r="E526" s="14">
        <v>1075.54700854701</v>
      </c>
    </row>
    <row r="527" ht="15.75" spans="1:5">
      <c r="A527" s="12">
        <v>526</v>
      </c>
      <c r="B527" s="1">
        <v>9</v>
      </c>
      <c r="C527" s="13">
        <v>45548.4027042824</v>
      </c>
      <c r="D527" s="14">
        <v>2332.33547008547</v>
      </c>
      <c r="E527" s="14">
        <v>1231.50256410256</v>
      </c>
    </row>
    <row r="528" ht="15.75" spans="1:5">
      <c r="A528" s="12">
        <v>527</v>
      </c>
      <c r="B528" s="1">
        <v>9</v>
      </c>
      <c r="C528" s="13">
        <v>45548.4027620949</v>
      </c>
      <c r="D528" s="14">
        <v>2284.34914529915</v>
      </c>
      <c r="E528" s="14">
        <v>1294.48461538462</v>
      </c>
    </row>
    <row r="529" ht="15.75" spans="1:5">
      <c r="A529" s="12">
        <v>528</v>
      </c>
      <c r="B529" s="1">
        <v>9</v>
      </c>
      <c r="C529" s="13">
        <v>45548.4028199074</v>
      </c>
      <c r="D529" s="14">
        <v>1228.65</v>
      </c>
      <c r="E529" s="14">
        <v>1051.55384615385</v>
      </c>
    </row>
    <row r="530" ht="15.75" spans="1:5">
      <c r="A530" s="12">
        <v>529</v>
      </c>
      <c r="B530" s="1">
        <v>9</v>
      </c>
      <c r="C530" s="13">
        <v>45548.4028777199</v>
      </c>
      <c r="D530" s="14">
        <v>1375.60811965812</v>
      </c>
      <c r="E530" s="14">
        <v>511.707692307692</v>
      </c>
    </row>
    <row r="531" ht="15.75" spans="1:5">
      <c r="A531" s="12">
        <v>530</v>
      </c>
      <c r="B531" s="1">
        <v>9</v>
      </c>
      <c r="C531" s="13">
        <v>45548.4029355324</v>
      </c>
      <c r="D531" s="14">
        <v>1381.60641025641</v>
      </c>
      <c r="E531" s="14">
        <v>460.722222222222</v>
      </c>
    </row>
    <row r="532" ht="15.75" spans="1:5">
      <c r="A532" s="12">
        <v>531</v>
      </c>
      <c r="B532" s="1">
        <v>9</v>
      </c>
      <c r="C532" s="13">
        <v>45548.4029933449</v>
      </c>
      <c r="D532" s="14">
        <v>1324.62264957265</v>
      </c>
      <c r="E532" s="14">
        <v>286.771794871795</v>
      </c>
    </row>
    <row r="533" ht="15.75" spans="1:5">
      <c r="A533" s="12">
        <v>532</v>
      </c>
      <c r="B533" s="1">
        <v>9</v>
      </c>
      <c r="C533" s="13">
        <v>45548.4030511574</v>
      </c>
      <c r="D533" s="14">
        <v>1741.50384615385</v>
      </c>
      <c r="E533" s="14">
        <v>445.726495726496</v>
      </c>
    </row>
    <row r="534" ht="15.75" spans="1:5">
      <c r="A534" s="12">
        <v>533</v>
      </c>
      <c r="B534" s="1">
        <v>9</v>
      </c>
      <c r="C534" s="13">
        <v>45548.4031089699</v>
      </c>
      <c r="D534" s="14">
        <v>1747.50213675214</v>
      </c>
      <c r="E534" s="14">
        <v>499.711111111111</v>
      </c>
    </row>
    <row r="535" ht="15.75" spans="1:5">
      <c r="A535" s="12">
        <v>534</v>
      </c>
      <c r="B535" s="1">
        <v>9</v>
      </c>
      <c r="C535" s="13">
        <v>45548.4031667824</v>
      </c>
      <c r="D535" s="14">
        <v>2008.42777777778</v>
      </c>
      <c r="E535" s="14">
        <v>301.767521367521</v>
      </c>
    </row>
    <row r="536" ht="15.75" spans="1:5">
      <c r="A536" s="12">
        <v>535</v>
      </c>
      <c r="B536" s="1">
        <v>9</v>
      </c>
      <c r="C536" s="13">
        <v>45548.4032245949</v>
      </c>
      <c r="D536" s="14">
        <v>2137.39102564103</v>
      </c>
      <c r="E536" s="14">
        <v>793.62735042735</v>
      </c>
    </row>
    <row r="537" ht="15.75" spans="1:5">
      <c r="A537" s="12">
        <v>536</v>
      </c>
      <c r="B537" s="1">
        <v>9</v>
      </c>
      <c r="C537" s="13">
        <v>45548.4032824074</v>
      </c>
      <c r="D537" s="14">
        <v>2197.37393162393</v>
      </c>
      <c r="E537" s="14">
        <v>1213.50769230769</v>
      </c>
    </row>
    <row r="538" ht="15.75" spans="1:5">
      <c r="A538" s="12">
        <v>537</v>
      </c>
      <c r="B538" s="1">
        <v>9</v>
      </c>
      <c r="C538" s="13">
        <v>45548.4033402199</v>
      </c>
      <c r="D538" s="14">
        <v>2194.37478632479</v>
      </c>
      <c r="E538" s="14">
        <v>1015.5641025641</v>
      </c>
    </row>
    <row r="539" ht="15.75" spans="1:5">
      <c r="A539" s="12">
        <v>538</v>
      </c>
      <c r="B539" s="1">
        <v>9</v>
      </c>
      <c r="C539" s="13">
        <v>45548.4033980324</v>
      </c>
      <c r="D539" s="14">
        <v>2275.35170940171</v>
      </c>
      <c r="E539" s="14">
        <v>1123.53333333333</v>
      </c>
    </row>
    <row r="540" ht="15.75" spans="1:5">
      <c r="A540" s="12">
        <v>539</v>
      </c>
      <c r="B540" s="1">
        <v>9</v>
      </c>
      <c r="C540" s="13">
        <v>45548.4034558449</v>
      </c>
      <c r="D540" s="14">
        <v>2275.35170940171</v>
      </c>
      <c r="E540" s="14">
        <v>1312.47948717949</v>
      </c>
    </row>
    <row r="541" ht="15.75" spans="1:5">
      <c r="A541" s="12">
        <v>540</v>
      </c>
      <c r="B541" s="1">
        <v>9</v>
      </c>
      <c r="C541" s="13">
        <v>45548.4035136574</v>
      </c>
      <c r="D541" s="14">
        <v>1871</v>
      </c>
      <c r="E541" s="14">
        <v>1312</v>
      </c>
    </row>
    <row r="542" ht="15.75" spans="1:5">
      <c r="A542" s="12">
        <v>541</v>
      </c>
      <c r="B542" s="1">
        <v>10</v>
      </c>
      <c r="C542" s="15" t="s">
        <v>129</v>
      </c>
      <c r="D542" s="14">
        <v>1876.46538461538</v>
      </c>
      <c r="E542" s="14">
        <v>2050.26923076923</v>
      </c>
    </row>
    <row r="543" ht="15.75" spans="1:5">
      <c r="A543" s="12">
        <v>542</v>
      </c>
      <c r="B543" s="1">
        <v>10</v>
      </c>
      <c r="C543" s="15" t="s">
        <v>130</v>
      </c>
      <c r="D543" s="14">
        <v>1795.48846153846</v>
      </c>
      <c r="E543" s="14">
        <v>1567.40683760684</v>
      </c>
    </row>
    <row r="544" ht="15.75" spans="1:5">
      <c r="A544" s="12">
        <v>543</v>
      </c>
      <c r="B544" s="1">
        <v>10</v>
      </c>
      <c r="C544" s="15" t="s">
        <v>232</v>
      </c>
      <c r="D544" s="14">
        <v>1717.51068376068</v>
      </c>
      <c r="E544" s="14">
        <v>1501.42564102564</v>
      </c>
    </row>
    <row r="545" ht="15.75" spans="1:5">
      <c r="A545" s="12">
        <v>544</v>
      </c>
      <c r="B545" s="1">
        <v>10</v>
      </c>
      <c r="C545" s="15" t="s">
        <v>233</v>
      </c>
      <c r="D545" s="14">
        <v>1804.4858974359</v>
      </c>
      <c r="E545" s="14">
        <v>1309.48034188034</v>
      </c>
    </row>
    <row r="546" ht="15.75" spans="1:5">
      <c r="A546" s="12">
        <v>545</v>
      </c>
      <c r="B546" s="1">
        <v>10</v>
      </c>
      <c r="C546" s="15" t="s">
        <v>234</v>
      </c>
      <c r="D546" s="14">
        <v>1729.50726495727</v>
      </c>
      <c r="E546" s="14">
        <v>997.569230769231</v>
      </c>
    </row>
    <row r="547" ht="15.75" spans="1:5">
      <c r="A547" s="12">
        <v>546</v>
      </c>
      <c r="B547" s="1">
        <v>10</v>
      </c>
      <c r="C547" s="15" t="s">
        <v>133</v>
      </c>
      <c r="D547" s="14">
        <v>1891.46111111111</v>
      </c>
      <c r="E547" s="14">
        <v>739.642735042735</v>
      </c>
    </row>
    <row r="548" ht="15.75" spans="1:5">
      <c r="A548" s="12">
        <v>547</v>
      </c>
      <c r="B548" s="1">
        <v>10</v>
      </c>
      <c r="C548" s="15" t="s">
        <v>194</v>
      </c>
      <c r="D548" s="14">
        <v>2131.39273504274</v>
      </c>
      <c r="E548" s="14">
        <v>508.708547008547</v>
      </c>
    </row>
    <row r="549" ht="15.75" spans="1:5">
      <c r="A549" s="12">
        <v>548</v>
      </c>
      <c r="B549" s="1">
        <v>10</v>
      </c>
      <c r="C549" s="15" t="s">
        <v>196</v>
      </c>
      <c r="D549" s="14">
        <v>2149.38760683761</v>
      </c>
      <c r="E549" s="14">
        <v>880.602564102564</v>
      </c>
    </row>
    <row r="550" ht="15.75" spans="1:5">
      <c r="A550" s="12">
        <v>549</v>
      </c>
      <c r="B550" s="1">
        <v>10</v>
      </c>
      <c r="C550" s="15" t="s">
        <v>235</v>
      </c>
      <c r="D550" s="14">
        <v>2287.34829059829</v>
      </c>
      <c r="E550" s="14">
        <v>1189.51452991453</v>
      </c>
    </row>
    <row r="551" ht="15.75" spans="1:5">
      <c r="A551" s="12">
        <v>550</v>
      </c>
      <c r="B551" s="1">
        <v>10</v>
      </c>
      <c r="C551" s="15" t="s">
        <v>199</v>
      </c>
      <c r="D551" s="14">
        <v>1530.5</v>
      </c>
      <c r="E551" s="14">
        <v>2340.5</v>
      </c>
    </row>
    <row r="552" ht="15.75" spans="1:5">
      <c r="A552" s="12">
        <v>551</v>
      </c>
      <c r="B552" s="1">
        <v>11</v>
      </c>
      <c r="C552" s="15" t="s">
        <v>105</v>
      </c>
      <c r="D552" s="14">
        <v>1924.45170940171</v>
      </c>
      <c r="E552" s="14">
        <v>2062.26581196581</v>
      </c>
    </row>
    <row r="553" ht="15.75" spans="1:5">
      <c r="A553" s="12">
        <v>552</v>
      </c>
      <c r="B553" s="1">
        <v>11</v>
      </c>
      <c r="C553" s="15" t="s">
        <v>106</v>
      </c>
      <c r="D553" s="14">
        <v>1609.54145299145</v>
      </c>
      <c r="E553" s="14">
        <v>2011.28034188034</v>
      </c>
    </row>
    <row r="554" ht="15.75" spans="1:5">
      <c r="A554" s="12">
        <v>553</v>
      </c>
      <c r="B554" s="1">
        <v>11</v>
      </c>
      <c r="C554" s="15" t="s">
        <v>109</v>
      </c>
      <c r="D554" s="14">
        <v>1753.50042735043</v>
      </c>
      <c r="E554" s="14">
        <v>1324.47606837607</v>
      </c>
    </row>
    <row r="555" ht="15.75" spans="1:5">
      <c r="A555" s="12">
        <v>554</v>
      </c>
      <c r="B555" s="1">
        <v>11</v>
      </c>
      <c r="C555" s="15" t="s">
        <v>111</v>
      </c>
      <c r="D555" s="14">
        <v>1678.5217948718</v>
      </c>
      <c r="E555" s="14">
        <v>1303.48205128205</v>
      </c>
    </row>
    <row r="556" ht="15.75" spans="1:5">
      <c r="A556" s="12">
        <v>555</v>
      </c>
      <c r="B556" s="1">
        <v>11</v>
      </c>
      <c r="C556" s="15" t="s">
        <v>111</v>
      </c>
      <c r="D556" s="14">
        <v>1831.47820512821</v>
      </c>
      <c r="E556" s="14">
        <v>1288.48632478632</v>
      </c>
    </row>
    <row r="557" ht="15.75" spans="1:5">
      <c r="A557" s="12">
        <v>556</v>
      </c>
      <c r="B557" s="1">
        <v>11</v>
      </c>
      <c r="C557" s="15" t="s">
        <v>189</v>
      </c>
      <c r="D557" s="14">
        <v>1780.49273504274</v>
      </c>
      <c r="E557" s="14">
        <v>1135.52991452991</v>
      </c>
    </row>
    <row r="558" ht="15.75" spans="1:5">
      <c r="A558" s="12">
        <v>557</v>
      </c>
      <c r="B558" s="1">
        <v>11</v>
      </c>
      <c r="C558" s="15" t="s">
        <v>190</v>
      </c>
      <c r="D558" s="14">
        <v>1723.50897435897</v>
      </c>
      <c r="E558" s="14">
        <v>1051.55384615385</v>
      </c>
    </row>
    <row r="559" ht="15.75" spans="1:5">
      <c r="A559" s="12">
        <v>558</v>
      </c>
      <c r="B559" s="1">
        <v>11</v>
      </c>
      <c r="C559" s="15" t="s">
        <v>112</v>
      </c>
      <c r="D559" s="14">
        <v>1405.59957264957</v>
      </c>
      <c r="E559" s="14">
        <v>1270.49145299145</v>
      </c>
    </row>
    <row r="560" ht="15.75" spans="1:5">
      <c r="A560" s="12">
        <v>559</v>
      </c>
      <c r="B560" s="1">
        <v>11</v>
      </c>
      <c r="C560" s="15" t="s">
        <v>191</v>
      </c>
      <c r="D560" s="14">
        <v>1387.6047008547</v>
      </c>
      <c r="E560" s="14">
        <v>1090.54273504274</v>
      </c>
    </row>
    <row r="561" ht="15.75" spans="1:5">
      <c r="A561" s="12">
        <v>560</v>
      </c>
      <c r="B561" s="1">
        <v>11</v>
      </c>
      <c r="C561" s="15" t="s">
        <v>192</v>
      </c>
      <c r="D561" s="14">
        <v>1186.66196581197</v>
      </c>
      <c r="E561" s="14">
        <v>1048.5547008547</v>
      </c>
    </row>
    <row r="562" ht="15.75" spans="1:5">
      <c r="A562" s="12">
        <v>561</v>
      </c>
      <c r="B562" s="1">
        <v>11</v>
      </c>
      <c r="C562" s="15" t="s">
        <v>114</v>
      </c>
      <c r="D562" s="14">
        <v>1333.62008547009</v>
      </c>
      <c r="E562" s="14">
        <v>958.580341880342</v>
      </c>
    </row>
    <row r="563" ht="15.75" spans="1:5">
      <c r="A563" s="12">
        <v>562</v>
      </c>
      <c r="B563" s="1">
        <v>11</v>
      </c>
      <c r="C563" s="15" t="s">
        <v>118</v>
      </c>
      <c r="D563" s="14">
        <v>1366.61068376068</v>
      </c>
      <c r="E563" s="14">
        <v>649.668376068376</v>
      </c>
    </row>
    <row r="564" ht="15.75" spans="1:5">
      <c r="A564" s="12">
        <v>563</v>
      </c>
      <c r="B564" s="1">
        <v>11</v>
      </c>
      <c r="C564" s="15" t="s">
        <v>119</v>
      </c>
      <c r="D564" s="14">
        <v>1264.63974358974</v>
      </c>
      <c r="E564" s="14">
        <v>532.701709401709</v>
      </c>
    </row>
    <row r="565" ht="15.75" spans="1:5">
      <c r="A565" s="12">
        <v>564</v>
      </c>
      <c r="B565" s="1">
        <v>11</v>
      </c>
      <c r="C565" s="15" t="s">
        <v>122</v>
      </c>
      <c r="D565" s="14">
        <v>1195.6594017094</v>
      </c>
      <c r="E565" s="14">
        <v>316.763247863248</v>
      </c>
    </row>
    <row r="566" ht="15.75" spans="1:5">
      <c r="A566" s="12">
        <v>565</v>
      </c>
      <c r="B566" s="1">
        <v>11</v>
      </c>
      <c r="C566" s="15" t="s">
        <v>193</v>
      </c>
      <c r="D566" s="14">
        <v>1387.6047008547</v>
      </c>
      <c r="E566" s="14">
        <v>526.703418803419</v>
      </c>
    </row>
    <row r="567" ht="15.75" spans="1:5">
      <c r="A567" s="12">
        <v>566</v>
      </c>
      <c r="B567" s="1">
        <v>11</v>
      </c>
      <c r="C567" s="15" t="s">
        <v>125</v>
      </c>
      <c r="D567" s="14">
        <v>1345.61666666667</v>
      </c>
      <c r="E567" s="14">
        <v>280.773504273504</v>
      </c>
    </row>
    <row r="568" ht="15.75" spans="1:5">
      <c r="A568" s="12">
        <v>567</v>
      </c>
      <c r="B568" s="1">
        <v>11</v>
      </c>
      <c r="C568" s="15" t="s">
        <v>127</v>
      </c>
      <c r="D568" s="14">
        <v>1762.49786324786</v>
      </c>
      <c r="E568" s="14">
        <v>397.740170940171</v>
      </c>
    </row>
    <row r="569" ht="15.75" spans="1:5">
      <c r="A569" s="12">
        <v>568</v>
      </c>
      <c r="B569" s="1">
        <v>11</v>
      </c>
      <c r="C569" s="15" t="s">
        <v>128</v>
      </c>
      <c r="D569" s="14">
        <v>2116.39700854701</v>
      </c>
      <c r="E569" s="14">
        <v>292.770085470085</v>
      </c>
    </row>
    <row r="570" ht="15.75" spans="1:5">
      <c r="A570" s="12">
        <v>569</v>
      </c>
      <c r="B570" s="1">
        <v>11</v>
      </c>
      <c r="C570" s="15" t="s">
        <v>131</v>
      </c>
      <c r="D570" s="14">
        <v>2308.34230769231</v>
      </c>
      <c r="E570" s="14">
        <v>394.741025641025</v>
      </c>
    </row>
    <row r="571" ht="15.75" spans="1:5">
      <c r="A571" s="12">
        <v>570</v>
      </c>
      <c r="B571" s="1">
        <v>11</v>
      </c>
      <c r="C571" s="15" t="s">
        <v>236</v>
      </c>
      <c r="D571" s="14">
        <v>2329.33632478633</v>
      </c>
      <c r="E571" s="14">
        <v>553.695726495726</v>
      </c>
    </row>
    <row r="572" ht="15.75" spans="1:5">
      <c r="A572" s="12">
        <v>571</v>
      </c>
      <c r="B572" s="1">
        <v>11</v>
      </c>
      <c r="C572" s="15" t="s">
        <v>237</v>
      </c>
      <c r="D572" s="14">
        <v>2374.32350427351</v>
      </c>
      <c r="E572" s="14">
        <v>679.659829059829</v>
      </c>
    </row>
    <row r="573" ht="15.75" spans="1:5">
      <c r="A573" s="12">
        <v>572</v>
      </c>
      <c r="B573" s="1">
        <v>11</v>
      </c>
      <c r="C573" s="15" t="s">
        <v>238</v>
      </c>
      <c r="D573" s="14">
        <v>2173.38076923077</v>
      </c>
      <c r="E573" s="14">
        <v>823.618803418804</v>
      </c>
    </row>
    <row r="574" ht="15.75" spans="1:5">
      <c r="A574" s="12">
        <v>573</v>
      </c>
      <c r="B574" s="1">
        <v>11</v>
      </c>
      <c r="C574" s="15" t="s">
        <v>239</v>
      </c>
      <c r="D574" s="14">
        <v>2362.32692307692</v>
      </c>
      <c r="E574" s="14">
        <v>925.589743589744</v>
      </c>
    </row>
    <row r="575" ht="15.75" spans="1:5">
      <c r="A575" s="12">
        <v>574</v>
      </c>
      <c r="B575" s="1">
        <v>11</v>
      </c>
      <c r="C575" s="15" t="s">
        <v>240</v>
      </c>
      <c r="D575" s="14">
        <v>2164.38333333333</v>
      </c>
      <c r="E575" s="14">
        <v>1186.51538461538</v>
      </c>
    </row>
    <row r="576" ht="15.75" spans="1:5">
      <c r="A576" s="12">
        <v>575</v>
      </c>
      <c r="B576" s="1">
        <v>11</v>
      </c>
      <c r="C576" s="15" t="s">
        <v>195</v>
      </c>
      <c r="D576" s="14">
        <v>2284.34914529915</v>
      </c>
      <c r="E576" s="14">
        <v>1189.51452991453</v>
      </c>
    </row>
    <row r="577" ht="15.75" spans="1:5">
      <c r="A577" s="12">
        <v>576</v>
      </c>
      <c r="B577" s="1">
        <v>11</v>
      </c>
      <c r="C577" s="15" t="s">
        <v>196</v>
      </c>
      <c r="D577" s="14">
        <v>2338.33376068376</v>
      </c>
      <c r="E577" s="14">
        <v>1255.49572649573</v>
      </c>
    </row>
    <row r="578" ht="15.75" spans="1:5">
      <c r="A578" s="12">
        <v>577</v>
      </c>
      <c r="B578" s="1">
        <v>11</v>
      </c>
      <c r="C578" s="15" t="s">
        <v>199</v>
      </c>
      <c r="D578" s="14">
        <v>1414.59700854701</v>
      </c>
      <c r="E578" s="14">
        <v>1291.48547008547</v>
      </c>
    </row>
    <row r="579" ht="15.75" spans="1:5">
      <c r="A579" s="12">
        <v>578</v>
      </c>
      <c r="B579" s="1">
        <v>11</v>
      </c>
      <c r="C579" s="15" t="s">
        <v>204</v>
      </c>
      <c r="D579" s="14">
        <v>1426.59358974359</v>
      </c>
      <c r="E579" s="14">
        <v>1297.48376068376</v>
      </c>
    </row>
    <row r="580" ht="15.75" spans="1:5">
      <c r="A580" s="12">
        <v>579</v>
      </c>
      <c r="B580" s="1">
        <v>11</v>
      </c>
      <c r="C580" s="15" t="s">
        <v>204</v>
      </c>
      <c r="D580" s="14">
        <v>1372.60897435897</v>
      </c>
      <c r="E580" s="14">
        <v>1219.50598290598</v>
      </c>
    </row>
    <row r="581" ht="15.75" spans="1:5">
      <c r="A581" s="12">
        <v>580</v>
      </c>
      <c r="B581" s="1">
        <v>11</v>
      </c>
      <c r="C581" s="15" t="s">
        <v>204</v>
      </c>
      <c r="D581" s="14">
        <v>1273.63717948718</v>
      </c>
      <c r="E581" s="14">
        <v>1291.48547008547</v>
      </c>
    </row>
    <row r="582" ht="15.75" spans="1:5">
      <c r="A582" s="12">
        <v>581</v>
      </c>
      <c r="B582" s="1">
        <v>11</v>
      </c>
      <c r="C582" s="15" t="s">
        <v>135</v>
      </c>
      <c r="D582" s="14">
        <v>1288.63290598291</v>
      </c>
      <c r="E582" s="14">
        <v>1147.5264957265</v>
      </c>
    </row>
    <row r="583" ht="15.75" spans="1:5">
      <c r="A583" s="12">
        <v>582</v>
      </c>
      <c r="B583" s="1">
        <v>11</v>
      </c>
      <c r="C583" s="15" t="s">
        <v>206</v>
      </c>
      <c r="D583" s="14">
        <v>1345.61666666667</v>
      </c>
      <c r="E583" s="14">
        <v>979.574358974359</v>
      </c>
    </row>
    <row r="584" ht="15.75" spans="1:5">
      <c r="A584" s="12">
        <v>583</v>
      </c>
      <c r="B584" s="1">
        <v>11</v>
      </c>
      <c r="C584" s="15" t="s">
        <v>208</v>
      </c>
      <c r="D584" s="14">
        <v>1366.61068376068</v>
      </c>
      <c r="E584" s="14">
        <v>646.669230769231</v>
      </c>
    </row>
    <row r="585" ht="15.75" spans="1:5">
      <c r="A585" s="12">
        <v>584</v>
      </c>
      <c r="B585" s="1">
        <v>11</v>
      </c>
      <c r="C585" s="15" t="s">
        <v>209</v>
      </c>
      <c r="D585" s="14">
        <v>1348.61581196581</v>
      </c>
      <c r="E585" s="14">
        <v>559.694017094017</v>
      </c>
    </row>
    <row r="586" ht="15.75" spans="1:5">
      <c r="A586" s="12">
        <v>585</v>
      </c>
      <c r="B586" s="1">
        <v>11</v>
      </c>
      <c r="C586" s="15" t="s">
        <v>210</v>
      </c>
      <c r="D586" s="14">
        <v>1228.65</v>
      </c>
      <c r="E586" s="14">
        <v>373.747008547008</v>
      </c>
    </row>
    <row r="587" ht="15.75" spans="1:5">
      <c r="A587" s="12">
        <v>586</v>
      </c>
      <c r="B587" s="1">
        <v>11</v>
      </c>
      <c r="C587" s="15" t="s">
        <v>210</v>
      </c>
      <c r="D587" s="14">
        <v>1255.64230769231</v>
      </c>
      <c r="E587" s="14">
        <v>304.766666666666</v>
      </c>
    </row>
    <row r="588" ht="15.75" spans="1:5">
      <c r="A588" s="12">
        <v>587</v>
      </c>
      <c r="B588" s="1">
        <v>11</v>
      </c>
      <c r="C588" s="15" t="s">
        <v>213</v>
      </c>
      <c r="D588" s="14">
        <v>1771.4952991453</v>
      </c>
      <c r="E588" s="14">
        <v>337.757264957265</v>
      </c>
    </row>
    <row r="589" ht="15.75" spans="1:5">
      <c r="A589" s="12">
        <v>588</v>
      </c>
      <c r="B589" s="1">
        <v>11</v>
      </c>
      <c r="C589" s="15" t="s">
        <v>215</v>
      </c>
      <c r="D589" s="14">
        <v>2104.40042735043</v>
      </c>
      <c r="E589" s="14">
        <v>310.764957264957</v>
      </c>
    </row>
    <row r="590" ht="15.75" spans="1:5">
      <c r="A590" s="12">
        <v>589</v>
      </c>
      <c r="B590" s="1">
        <v>11</v>
      </c>
      <c r="C590" s="15" t="s">
        <v>137</v>
      </c>
      <c r="D590" s="14">
        <v>2287.34829059829</v>
      </c>
      <c r="E590" s="14">
        <v>556.694871794872</v>
      </c>
    </row>
    <row r="591" ht="15.75" spans="1:5">
      <c r="A591" s="12">
        <v>590</v>
      </c>
      <c r="B591" s="1">
        <v>11</v>
      </c>
      <c r="C591" s="15" t="s">
        <v>216</v>
      </c>
      <c r="D591" s="14">
        <v>2143.38931623932</v>
      </c>
      <c r="E591" s="14">
        <v>733.644444444444</v>
      </c>
    </row>
    <row r="592" ht="15.75" spans="1:5">
      <c r="A592" s="12">
        <v>591</v>
      </c>
      <c r="B592" s="1">
        <v>11</v>
      </c>
      <c r="C592" s="15" t="s">
        <v>217</v>
      </c>
      <c r="D592" s="14">
        <v>2119.39615384615</v>
      </c>
      <c r="E592" s="14">
        <v>943.584615384616</v>
      </c>
    </row>
    <row r="593" ht="15.75" spans="1:5">
      <c r="A593" s="12">
        <v>592</v>
      </c>
      <c r="B593" s="1">
        <v>11</v>
      </c>
      <c r="C593" s="15" t="s">
        <v>241</v>
      </c>
      <c r="D593" s="14">
        <v>1653</v>
      </c>
      <c r="E593" s="14">
        <v>1312</v>
      </c>
    </row>
    <row r="594" ht="15.75" spans="1:5">
      <c r="A594" s="12">
        <v>593</v>
      </c>
      <c r="B594" s="1">
        <v>12</v>
      </c>
      <c r="C594" s="15" t="s">
        <v>146</v>
      </c>
      <c r="D594" s="14">
        <v>2062.41239316239</v>
      </c>
      <c r="E594" s="14">
        <v>2332.18888888889</v>
      </c>
    </row>
    <row r="595" ht="15.75" spans="1:5">
      <c r="A595" s="12">
        <v>594</v>
      </c>
      <c r="B595" s="1">
        <v>12</v>
      </c>
      <c r="C595" s="15" t="s">
        <v>147</v>
      </c>
      <c r="D595" s="14">
        <v>1891.46111111111</v>
      </c>
      <c r="E595" s="14">
        <v>2050.26923076923</v>
      </c>
    </row>
    <row r="596" ht="15.75" spans="1:5">
      <c r="A596" s="12">
        <v>595</v>
      </c>
      <c r="B596" s="1">
        <v>12</v>
      </c>
      <c r="C596" s="15" t="s">
        <v>149</v>
      </c>
      <c r="D596" s="14">
        <v>1621.53803418803</v>
      </c>
      <c r="E596" s="14">
        <v>1309.48034188034</v>
      </c>
    </row>
    <row r="597" ht="15.75" spans="1:5">
      <c r="A597" s="12">
        <v>596</v>
      </c>
      <c r="B597" s="1">
        <v>12</v>
      </c>
      <c r="C597" s="15" t="s">
        <v>149</v>
      </c>
      <c r="D597" s="14">
        <v>1189.66111111111</v>
      </c>
      <c r="E597" s="14">
        <v>1207.5094017094</v>
      </c>
    </row>
    <row r="598" ht="15.75" spans="1:5">
      <c r="A598" s="12">
        <v>597</v>
      </c>
      <c r="B598" s="1">
        <v>12</v>
      </c>
      <c r="C598" s="15" t="s">
        <v>150</v>
      </c>
      <c r="D598" s="14">
        <v>1186.66196581197</v>
      </c>
      <c r="E598" s="14">
        <v>1270.49145299145</v>
      </c>
    </row>
    <row r="599" ht="15.75" spans="1:5">
      <c r="A599" s="12">
        <v>598</v>
      </c>
      <c r="B599" s="1">
        <v>12</v>
      </c>
      <c r="C599" s="15" t="s">
        <v>150</v>
      </c>
      <c r="D599" s="14">
        <v>1393.60299145299</v>
      </c>
      <c r="E599" s="14">
        <v>1108.53760683761</v>
      </c>
    </row>
    <row r="600" ht="15.75" spans="1:5">
      <c r="A600" s="12">
        <v>599</v>
      </c>
      <c r="B600" s="1">
        <v>12</v>
      </c>
      <c r="C600" s="15" t="s">
        <v>151</v>
      </c>
      <c r="D600" s="14">
        <v>1336.61923076923</v>
      </c>
      <c r="E600" s="14">
        <v>646.669230769231</v>
      </c>
    </row>
    <row r="601" ht="15.75" spans="1:5">
      <c r="A601" s="12">
        <v>600</v>
      </c>
      <c r="B601" s="1">
        <v>12</v>
      </c>
      <c r="C601" s="15" t="s">
        <v>157</v>
      </c>
      <c r="D601" s="14">
        <v>1303.62863247863</v>
      </c>
      <c r="E601" s="14">
        <v>628.674358974359</v>
      </c>
    </row>
    <row r="602" ht="15.75" spans="1:5">
      <c r="A602" s="12">
        <v>601</v>
      </c>
      <c r="B602" s="1">
        <v>12</v>
      </c>
      <c r="C602" s="15" t="s">
        <v>159</v>
      </c>
      <c r="D602" s="14">
        <v>1180.66367521368</v>
      </c>
      <c r="E602" s="14">
        <v>517.705982905983</v>
      </c>
    </row>
    <row r="603" ht="15.75" spans="1:5">
      <c r="A603" s="12">
        <v>602</v>
      </c>
      <c r="B603" s="1">
        <v>12</v>
      </c>
      <c r="C603" s="15" t="s">
        <v>161</v>
      </c>
      <c r="D603" s="14">
        <v>1219.65256410256</v>
      </c>
      <c r="E603" s="14">
        <v>298.768376068376</v>
      </c>
    </row>
    <row r="604" ht="15.75" spans="1:5">
      <c r="A604" s="12">
        <v>603</v>
      </c>
      <c r="B604" s="1">
        <v>12</v>
      </c>
      <c r="C604" s="15" t="s">
        <v>163</v>
      </c>
      <c r="D604" s="14">
        <v>1261.6405982906</v>
      </c>
      <c r="E604" s="14">
        <v>301.767521367521</v>
      </c>
    </row>
    <row r="605" ht="15.75" spans="1:5">
      <c r="A605" s="12">
        <v>604</v>
      </c>
      <c r="B605" s="1">
        <v>12</v>
      </c>
      <c r="C605" s="15" t="s">
        <v>163</v>
      </c>
      <c r="D605" s="14">
        <v>1549.55854700855</v>
      </c>
      <c r="E605" s="14">
        <v>337.757264957265</v>
      </c>
    </row>
    <row r="606" ht="15.75" spans="1:5">
      <c r="A606" s="12">
        <v>605</v>
      </c>
      <c r="B606" s="1">
        <v>12</v>
      </c>
      <c r="C606" s="15" t="s">
        <v>242</v>
      </c>
      <c r="D606" s="14">
        <v>2170.38162393162</v>
      </c>
      <c r="E606" s="14">
        <v>388.742735042735</v>
      </c>
    </row>
    <row r="607" ht="15.75" spans="1:5">
      <c r="A607" s="12">
        <v>606</v>
      </c>
      <c r="B607" s="1">
        <v>12</v>
      </c>
      <c r="C607" s="15" t="s">
        <v>167</v>
      </c>
      <c r="D607" s="14">
        <v>2305.34316239316</v>
      </c>
      <c r="E607" s="14">
        <v>334.75811965812</v>
      </c>
    </row>
    <row r="608" ht="15.75" spans="1:5">
      <c r="A608" s="12">
        <v>607</v>
      </c>
      <c r="B608" s="1">
        <v>12</v>
      </c>
      <c r="C608" s="15" t="s">
        <v>170</v>
      </c>
      <c r="D608" s="14">
        <v>2143.38931623932</v>
      </c>
      <c r="E608" s="14">
        <v>508.708547008547</v>
      </c>
    </row>
    <row r="609" ht="15.75" spans="1:5">
      <c r="A609" s="12">
        <v>608</v>
      </c>
      <c r="B609" s="1">
        <v>12</v>
      </c>
      <c r="C609" s="15" t="s">
        <v>172</v>
      </c>
      <c r="D609" s="14">
        <v>2152.38675213675</v>
      </c>
      <c r="E609" s="14">
        <v>553.695726495726</v>
      </c>
    </row>
    <row r="610" ht="15.75" spans="1:5">
      <c r="A610" s="12">
        <v>609</v>
      </c>
      <c r="B610" s="1">
        <v>12</v>
      </c>
      <c r="C610" s="15" t="s">
        <v>172</v>
      </c>
      <c r="D610" s="14">
        <v>2185.37735042735</v>
      </c>
      <c r="E610" s="14">
        <v>769.634188034188</v>
      </c>
    </row>
    <row r="611" ht="15.75" spans="1:5">
      <c r="A611" s="12">
        <v>610</v>
      </c>
      <c r="B611" s="1">
        <v>12</v>
      </c>
      <c r="C611" s="15" t="s">
        <v>175</v>
      </c>
      <c r="D611" s="14">
        <v>2173.38076923077</v>
      </c>
      <c r="E611" s="14">
        <v>811.622222222222</v>
      </c>
    </row>
    <row r="612" ht="15.75" spans="1:5">
      <c r="A612" s="12">
        <v>611</v>
      </c>
      <c r="B612" s="1">
        <v>12</v>
      </c>
      <c r="C612" s="15" t="s">
        <v>175</v>
      </c>
      <c r="D612" s="14">
        <v>2185.37735042735</v>
      </c>
      <c r="E612" s="14">
        <v>958.580341880342</v>
      </c>
    </row>
    <row r="613" ht="15.75" spans="1:5">
      <c r="A613" s="12">
        <v>612</v>
      </c>
      <c r="B613" s="1">
        <v>12</v>
      </c>
      <c r="C613" s="15" t="s">
        <v>176</v>
      </c>
      <c r="D613" s="14">
        <v>2326.33717948718</v>
      </c>
      <c r="E613" s="14">
        <v>1048.5547008547</v>
      </c>
    </row>
    <row r="614" ht="15.75" spans="1:5">
      <c r="A614" s="12">
        <v>613</v>
      </c>
      <c r="B614" s="1">
        <v>12</v>
      </c>
      <c r="C614" s="15" t="s">
        <v>178</v>
      </c>
      <c r="D614" s="14">
        <v>2299.34487179487</v>
      </c>
      <c r="E614" s="14">
        <v>1192.51367521368</v>
      </c>
    </row>
    <row r="615" ht="15.75" spans="1:5">
      <c r="A615" s="12">
        <v>614</v>
      </c>
      <c r="B615" s="1">
        <v>12</v>
      </c>
      <c r="C615" s="15" t="s">
        <v>182</v>
      </c>
      <c r="D615" s="14">
        <v>2026.42264957265</v>
      </c>
      <c r="E615" s="14">
        <v>1288.48632478632</v>
      </c>
    </row>
    <row r="616" ht="15.75" spans="1:5">
      <c r="A616" s="12">
        <v>615</v>
      </c>
      <c r="B616" s="1">
        <v>12</v>
      </c>
      <c r="C616" s="15" t="s">
        <v>182</v>
      </c>
      <c r="D616" s="14">
        <v>2185.37735042735</v>
      </c>
      <c r="E616" s="14">
        <v>1168.52051282051</v>
      </c>
    </row>
    <row r="617" ht="15.75" spans="1:5">
      <c r="A617" s="12">
        <v>616</v>
      </c>
      <c r="B617" s="1">
        <v>12</v>
      </c>
      <c r="C617" s="15" t="s">
        <v>243</v>
      </c>
      <c r="D617" s="14">
        <v>2281.35</v>
      </c>
      <c r="E617" s="14">
        <v>1018.56324786325</v>
      </c>
    </row>
    <row r="618" ht="15.75" spans="1:5">
      <c r="A618" s="12">
        <v>617</v>
      </c>
      <c r="B618" s="1">
        <v>12</v>
      </c>
      <c r="C618" s="15" t="s">
        <v>245</v>
      </c>
      <c r="D618" s="14">
        <v>2284.34914529915</v>
      </c>
      <c r="E618" s="14">
        <v>1063.55042735043</v>
      </c>
    </row>
    <row r="619" ht="15.75" spans="1:5">
      <c r="A619" s="12">
        <v>618</v>
      </c>
      <c r="B619" s="1">
        <v>12</v>
      </c>
      <c r="C619" s="15" t="s">
        <v>246</v>
      </c>
      <c r="D619" s="14">
        <v>2287.34829059829</v>
      </c>
      <c r="E619" s="14">
        <v>1315.47863247863</v>
      </c>
    </row>
    <row r="620" ht="15.75" spans="1:5">
      <c r="A620" s="12">
        <v>619</v>
      </c>
      <c r="B620" s="1">
        <v>12</v>
      </c>
      <c r="C620" s="15" t="s">
        <v>247</v>
      </c>
      <c r="D620" s="14">
        <v>1249.64401709402</v>
      </c>
      <c r="E620" s="14">
        <v>1279.48888888889</v>
      </c>
    </row>
    <row r="621" ht="15.75" spans="1:5">
      <c r="A621" s="12">
        <v>620</v>
      </c>
      <c r="B621" s="1">
        <v>12</v>
      </c>
      <c r="C621" s="15" t="s">
        <v>247</v>
      </c>
      <c r="D621" s="14">
        <v>1276.63632478633</v>
      </c>
      <c r="E621" s="14">
        <v>1030.55982905983</v>
      </c>
    </row>
    <row r="622" ht="15.75" spans="1:5">
      <c r="A622" s="12">
        <v>621</v>
      </c>
      <c r="B622" s="1">
        <v>12</v>
      </c>
      <c r="C622" s="15" t="s">
        <v>248</v>
      </c>
      <c r="D622" s="14">
        <v>1339.61837606838</v>
      </c>
      <c r="E622" s="14">
        <v>313.764102564102</v>
      </c>
    </row>
    <row r="623" ht="15.75" spans="1:5">
      <c r="A623" s="12">
        <v>622</v>
      </c>
      <c r="B623" s="1">
        <v>12</v>
      </c>
      <c r="C623" s="15" t="s">
        <v>249</v>
      </c>
      <c r="D623" s="14">
        <v>2164.38333333333</v>
      </c>
      <c r="E623" s="14">
        <v>502.710256410256</v>
      </c>
    </row>
    <row r="624" ht="15.75" spans="1:5">
      <c r="A624" s="12">
        <v>623</v>
      </c>
      <c r="B624" s="1">
        <v>12</v>
      </c>
      <c r="C624" s="15" t="s">
        <v>250</v>
      </c>
      <c r="D624" s="14">
        <v>2296.34572649573</v>
      </c>
      <c r="E624" s="14">
        <v>634.672649572649</v>
      </c>
    </row>
    <row r="625" ht="15.75" spans="1:5">
      <c r="A625" s="12">
        <v>624</v>
      </c>
      <c r="B625" s="1">
        <v>12</v>
      </c>
      <c r="C625" s="15" t="s">
        <v>251</v>
      </c>
      <c r="D625" s="14">
        <v>2161.38418803419</v>
      </c>
      <c r="E625" s="14">
        <v>748.640170940171</v>
      </c>
    </row>
    <row r="626" ht="15.75" spans="1:5">
      <c r="A626" s="12">
        <v>625</v>
      </c>
      <c r="B626" s="1">
        <v>12</v>
      </c>
      <c r="C626" s="15" t="s">
        <v>252</v>
      </c>
      <c r="D626" s="14">
        <v>2287.34829059829</v>
      </c>
      <c r="E626" s="14">
        <v>556.694871794872</v>
      </c>
    </row>
    <row r="627" ht="15.75" spans="1:5">
      <c r="A627" s="12">
        <v>626</v>
      </c>
      <c r="B627" s="1">
        <v>12</v>
      </c>
      <c r="C627" s="15" t="s">
        <v>253</v>
      </c>
      <c r="D627" s="14">
        <v>2143.38931623932</v>
      </c>
      <c r="E627" s="14">
        <v>733.644444444444</v>
      </c>
    </row>
    <row r="628" ht="15.75" spans="1:5">
      <c r="A628" s="12">
        <v>627</v>
      </c>
      <c r="B628" s="1">
        <v>12</v>
      </c>
      <c r="C628" s="15" t="s">
        <v>254</v>
      </c>
      <c r="D628" s="14">
        <v>2119.39615384615</v>
      </c>
      <c r="E628" s="14">
        <v>943.584615384616</v>
      </c>
    </row>
    <row r="629" ht="15.75" spans="1:5">
      <c r="A629" s="12">
        <v>628</v>
      </c>
      <c r="B629" s="16">
        <v>13</v>
      </c>
      <c r="C629" s="15" t="s">
        <v>69</v>
      </c>
      <c r="D629" s="14">
        <v>1873.46623931624</v>
      </c>
      <c r="E629" s="14">
        <v>2212.22307692308</v>
      </c>
    </row>
    <row r="630" ht="15.75" spans="1:5">
      <c r="A630" s="12">
        <v>629</v>
      </c>
      <c r="B630" s="16">
        <v>13</v>
      </c>
      <c r="C630" s="15" t="s">
        <v>186</v>
      </c>
      <c r="D630" s="14">
        <v>1867.46794871795</v>
      </c>
      <c r="E630" s="14">
        <v>1840.32905982906</v>
      </c>
    </row>
    <row r="631" ht="15.75" spans="1:5">
      <c r="A631" s="12">
        <v>630</v>
      </c>
      <c r="B631" s="16">
        <v>13</v>
      </c>
      <c r="C631" s="15" t="s">
        <v>71</v>
      </c>
      <c r="D631" s="14">
        <v>1651.52948717949</v>
      </c>
      <c r="E631" s="14">
        <v>1384.45897435897</v>
      </c>
    </row>
    <row r="632" ht="15.75" spans="1:5">
      <c r="A632" s="12">
        <v>631</v>
      </c>
      <c r="B632" s="16">
        <v>13</v>
      </c>
      <c r="C632" s="15" t="s">
        <v>141</v>
      </c>
      <c r="D632" s="14">
        <v>1648.53034188034</v>
      </c>
      <c r="E632" s="14">
        <v>1174.5188034188</v>
      </c>
    </row>
    <row r="633" ht="15.75" spans="1:5">
      <c r="A633" s="12">
        <v>632</v>
      </c>
      <c r="B633" s="16">
        <v>13</v>
      </c>
      <c r="C633" s="15" t="s">
        <v>73</v>
      </c>
      <c r="D633" s="14">
        <v>1309.62692307692</v>
      </c>
      <c r="E633" s="14">
        <v>1240.5</v>
      </c>
    </row>
    <row r="634" ht="15.75" spans="1:5">
      <c r="A634" s="12">
        <v>633</v>
      </c>
      <c r="B634" s="16">
        <v>13</v>
      </c>
      <c r="C634" s="15" t="s">
        <v>74</v>
      </c>
      <c r="D634" s="14">
        <v>1198.65854700855</v>
      </c>
      <c r="E634" s="14">
        <v>1291.48547008547</v>
      </c>
    </row>
    <row r="635" ht="15.75" spans="1:5">
      <c r="A635" s="12">
        <v>634</v>
      </c>
      <c r="B635" s="16">
        <v>13</v>
      </c>
      <c r="C635" s="15" t="s">
        <v>75</v>
      </c>
      <c r="D635" s="14">
        <v>1384.60555555556</v>
      </c>
      <c r="E635" s="14">
        <v>1033.55897435897</v>
      </c>
    </row>
    <row r="636" ht="15.75" spans="1:5">
      <c r="A636" s="12">
        <v>635</v>
      </c>
      <c r="B636" s="16">
        <v>13</v>
      </c>
      <c r="C636" s="15" t="s">
        <v>76</v>
      </c>
      <c r="D636" s="14">
        <v>1249.64401709402</v>
      </c>
      <c r="E636" s="14">
        <v>970.576923076923</v>
      </c>
    </row>
    <row r="637" ht="15.75" spans="1:5">
      <c r="A637" s="12">
        <v>636</v>
      </c>
      <c r="B637" s="16">
        <v>13</v>
      </c>
      <c r="C637" s="15" t="s">
        <v>78</v>
      </c>
      <c r="D637" s="14">
        <v>1354.6141025641</v>
      </c>
      <c r="E637" s="14">
        <v>946.583760683761</v>
      </c>
    </row>
    <row r="638" ht="15.75" spans="1:5">
      <c r="A638" s="12">
        <v>637</v>
      </c>
      <c r="B638" s="16">
        <v>13</v>
      </c>
      <c r="C638" s="15" t="s">
        <v>78</v>
      </c>
      <c r="D638" s="14">
        <v>1345.61666666667</v>
      </c>
      <c r="E638" s="14">
        <v>763.635897435897</v>
      </c>
    </row>
    <row r="639" ht="15.75" spans="1:5">
      <c r="A639" s="12">
        <v>638</v>
      </c>
      <c r="B639" s="16">
        <v>13</v>
      </c>
      <c r="C639" s="15" t="s">
        <v>79</v>
      </c>
      <c r="D639" s="14">
        <v>1240.64658119658</v>
      </c>
      <c r="E639" s="14">
        <v>637.671794871795</v>
      </c>
    </row>
    <row r="640" ht="15.75" spans="1:5">
      <c r="A640" s="12">
        <v>639</v>
      </c>
      <c r="B640" s="16">
        <v>13</v>
      </c>
      <c r="C640" s="15" t="s">
        <v>80</v>
      </c>
      <c r="D640" s="14">
        <v>1189.66111111111</v>
      </c>
      <c r="E640" s="14">
        <v>424.732478632478</v>
      </c>
    </row>
    <row r="641" ht="15.75" spans="1:5">
      <c r="A641" s="12">
        <v>640</v>
      </c>
      <c r="B641" s="16">
        <v>13</v>
      </c>
      <c r="C641" s="15" t="s">
        <v>81</v>
      </c>
      <c r="D641" s="14">
        <v>1297.63034188034</v>
      </c>
      <c r="E641" s="14">
        <v>346.754700854701</v>
      </c>
    </row>
    <row r="642" ht="15.75" spans="1:5">
      <c r="A642" s="12">
        <v>641</v>
      </c>
      <c r="B642" s="16">
        <v>13</v>
      </c>
      <c r="C642" s="15" t="s">
        <v>82</v>
      </c>
      <c r="D642" s="14">
        <v>2332.33547008547</v>
      </c>
      <c r="E642" s="14">
        <v>427.731623931624</v>
      </c>
    </row>
    <row r="643" ht="15.75" spans="1:5">
      <c r="A643" s="12">
        <v>642</v>
      </c>
      <c r="B643" s="16">
        <v>13</v>
      </c>
      <c r="C643" s="15" t="s">
        <v>83</v>
      </c>
      <c r="D643" s="14">
        <v>2239.36196581197</v>
      </c>
      <c r="E643" s="14">
        <v>517.705982905983</v>
      </c>
    </row>
    <row r="644" ht="15.75" spans="1:5">
      <c r="A644" s="12">
        <v>643</v>
      </c>
      <c r="B644" s="16">
        <v>13</v>
      </c>
      <c r="C644" s="15" t="s">
        <v>83</v>
      </c>
      <c r="D644" s="14">
        <v>2341.33290598291</v>
      </c>
      <c r="E644" s="14">
        <v>514.706837606837</v>
      </c>
    </row>
    <row r="645" ht="15.75" spans="1:5">
      <c r="A645" s="12">
        <v>644</v>
      </c>
      <c r="B645" s="16">
        <v>13</v>
      </c>
      <c r="C645" s="15" t="s">
        <v>85</v>
      </c>
      <c r="D645" s="14">
        <v>2191.37564102564</v>
      </c>
      <c r="E645" s="14">
        <v>964.578632478633</v>
      </c>
    </row>
    <row r="646" ht="15.75" spans="1:5">
      <c r="A646" s="12">
        <v>645</v>
      </c>
      <c r="B646" s="16">
        <v>13</v>
      </c>
      <c r="C646" s="15" t="s">
        <v>85</v>
      </c>
      <c r="D646" s="14">
        <v>2266.35427350427</v>
      </c>
      <c r="E646" s="14">
        <v>1033.55897435897</v>
      </c>
    </row>
    <row r="647" ht="15.75" spans="1:5">
      <c r="A647" s="12">
        <v>646</v>
      </c>
      <c r="B647" s="16">
        <v>13</v>
      </c>
      <c r="C647" s="15" t="s">
        <v>86</v>
      </c>
      <c r="D647" s="14">
        <v>2119.39615384615</v>
      </c>
      <c r="E647" s="14">
        <v>1171.51965811966</v>
      </c>
    </row>
    <row r="648" ht="15.75" spans="1:5">
      <c r="A648" s="12">
        <v>647</v>
      </c>
      <c r="B648" s="16">
        <v>13</v>
      </c>
      <c r="C648" s="15" t="s">
        <v>142</v>
      </c>
      <c r="D648" s="14">
        <v>2287.34829059829</v>
      </c>
      <c r="E648" s="14">
        <v>1171.51965811966</v>
      </c>
    </row>
    <row r="649" ht="15.75" spans="1:5">
      <c r="A649" s="12">
        <v>648</v>
      </c>
      <c r="B649" s="16">
        <v>13</v>
      </c>
      <c r="C649" s="15" t="s">
        <v>87</v>
      </c>
      <c r="D649" s="14">
        <v>2353.32948717949</v>
      </c>
      <c r="E649" s="14">
        <v>1177.51794871795</v>
      </c>
    </row>
    <row r="650" ht="15.75" spans="1:5">
      <c r="A650" s="12">
        <v>649</v>
      </c>
      <c r="B650" s="16">
        <v>13</v>
      </c>
      <c r="C650" s="15" t="s">
        <v>87</v>
      </c>
      <c r="D650" s="14">
        <v>2344.33205128205</v>
      </c>
      <c r="E650" s="14">
        <v>1312.47948717949</v>
      </c>
    </row>
    <row r="651" ht="15.75" spans="1:5">
      <c r="A651" s="12">
        <v>650</v>
      </c>
      <c r="B651" s="16">
        <v>13</v>
      </c>
      <c r="C651" s="15" t="s">
        <v>88</v>
      </c>
      <c r="D651" s="14">
        <v>2209.37051282051</v>
      </c>
      <c r="E651" s="14">
        <v>1243.49914529915</v>
      </c>
    </row>
    <row r="652" ht="15.75" spans="1:5">
      <c r="A652" s="12">
        <v>651</v>
      </c>
      <c r="B652" s="16">
        <v>13</v>
      </c>
      <c r="C652" s="15" t="s">
        <v>88</v>
      </c>
      <c r="D652" s="14">
        <v>2170.38162393162</v>
      </c>
      <c r="E652" s="14">
        <v>1261.49401709402</v>
      </c>
    </row>
    <row r="653" ht="15.75" spans="1:5">
      <c r="A653" s="12">
        <v>652</v>
      </c>
      <c r="B653" s="16">
        <v>13</v>
      </c>
      <c r="C653" s="15" t="s">
        <v>93</v>
      </c>
      <c r="D653" s="14">
        <v>1786.49102564103</v>
      </c>
      <c r="E653" s="14">
        <v>373.747008547008</v>
      </c>
    </row>
    <row r="654" ht="15.75" spans="1:5">
      <c r="A654" s="12">
        <v>653</v>
      </c>
      <c r="B654" s="16">
        <v>13</v>
      </c>
      <c r="C654" s="15" t="s">
        <v>101</v>
      </c>
      <c r="D654" s="14">
        <v>1423.59444444444</v>
      </c>
      <c r="E654" s="14">
        <v>292.770085470085</v>
      </c>
    </row>
    <row r="655" ht="15.75" spans="1:5">
      <c r="A655" s="12">
        <v>654</v>
      </c>
      <c r="B655" s="16">
        <v>13</v>
      </c>
      <c r="C655" s="15" t="s">
        <v>101</v>
      </c>
      <c r="D655" s="14">
        <v>1252.64316239316</v>
      </c>
      <c r="E655" s="14">
        <v>325.760683760684</v>
      </c>
    </row>
    <row r="656" ht="15.75" spans="1:5">
      <c r="A656" s="12">
        <v>655</v>
      </c>
      <c r="B656" s="16">
        <v>13</v>
      </c>
      <c r="C656" s="15" t="s">
        <v>102</v>
      </c>
      <c r="D656" s="14">
        <v>1336.61923076923</v>
      </c>
      <c r="E656" s="14">
        <v>559.694017094017</v>
      </c>
    </row>
    <row r="657" ht="15.75" spans="1:5">
      <c r="A657" s="12">
        <v>656</v>
      </c>
      <c r="B657" s="16">
        <v>13</v>
      </c>
      <c r="C657" s="15" t="s">
        <v>102</v>
      </c>
      <c r="D657" s="14">
        <v>1261.6405982906</v>
      </c>
      <c r="E657" s="14">
        <v>493.71282051282</v>
      </c>
    </row>
    <row r="658" ht="15.75" spans="1:5">
      <c r="A658" s="12">
        <v>657</v>
      </c>
      <c r="B658" s="16">
        <v>13</v>
      </c>
      <c r="C658" s="15" t="s">
        <v>103</v>
      </c>
      <c r="D658" s="14">
        <v>1357.61324786325</v>
      </c>
      <c r="E658" s="14">
        <v>700.653846153846</v>
      </c>
    </row>
    <row r="659" ht="15.75" spans="1:5">
      <c r="A659" s="12">
        <v>658</v>
      </c>
      <c r="B659" s="16">
        <v>13</v>
      </c>
      <c r="C659" s="15" t="s">
        <v>103</v>
      </c>
      <c r="D659" s="14">
        <v>1357.61324786325</v>
      </c>
      <c r="E659" s="14">
        <v>976.575213675214</v>
      </c>
    </row>
    <row r="660" ht="15.75" spans="1:5">
      <c r="A660" s="12">
        <v>659</v>
      </c>
      <c r="B660" s="16">
        <v>13</v>
      </c>
      <c r="C660" s="15" t="s">
        <v>103</v>
      </c>
      <c r="D660" s="14">
        <v>1372.60897435897</v>
      </c>
      <c r="E660" s="14">
        <v>1066.54957264957</v>
      </c>
    </row>
    <row r="661" ht="15.75" spans="1:5">
      <c r="A661" s="12">
        <v>660</v>
      </c>
      <c r="B661" s="16">
        <v>13</v>
      </c>
      <c r="C661" s="15" t="s">
        <v>104</v>
      </c>
      <c r="D661" s="14">
        <v>1249.64401709402</v>
      </c>
      <c r="E661" s="14">
        <v>1258.49487179487</v>
      </c>
    </row>
    <row r="662" ht="15.75" spans="1:5">
      <c r="A662" s="12">
        <v>661</v>
      </c>
      <c r="B662" s="16">
        <v>13</v>
      </c>
      <c r="C662" s="15" t="s">
        <v>106</v>
      </c>
      <c r="D662" s="14">
        <v>2290.34743589744</v>
      </c>
      <c r="E662" s="14">
        <v>643.670085470085</v>
      </c>
    </row>
    <row r="663" ht="15.75" spans="1:5">
      <c r="A663" s="12">
        <v>662</v>
      </c>
      <c r="B663" s="16">
        <v>13</v>
      </c>
      <c r="C663" s="15" t="s">
        <v>106</v>
      </c>
      <c r="D663" s="14">
        <v>2137.39102564103</v>
      </c>
      <c r="E663" s="14">
        <v>634.672649572649</v>
      </c>
    </row>
    <row r="664" ht="15.75" spans="1:5">
      <c r="A664" s="12">
        <v>663</v>
      </c>
      <c r="B664" s="16">
        <v>13</v>
      </c>
      <c r="C664" s="15" t="s">
        <v>108</v>
      </c>
      <c r="D664" s="14">
        <v>2143.38931623932</v>
      </c>
      <c r="E664" s="14">
        <v>751.639316239316</v>
      </c>
    </row>
    <row r="665" ht="15.75" spans="1:5">
      <c r="A665" s="12">
        <v>664</v>
      </c>
      <c r="B665" s="16">
        <v>13</v>
      </c>
      <c r="C665" s="15" t="s">
        <v>109</v>
      </c>
      <c r="D665" s="14">
        <v>2131.39273504274</v>
      </c>
      <c r="E665" s="14">
        <v>1042.55641025641</v>
      </c>
    </row>
    <row r="666" ht="15.75" spans="1:5">
      <c r="A666" s="12">
        <v>665</v>
      </c>
      <c r="B666" s="16">
        <v>13</v>
      </c>
      <c r="C666" s="15" t="s">
        <v>187</v>
      </c>
      <c r="D666" s="14">
        <v>2281.35</v>
      </c>
      <c r="E666" s="14">
        <v>1306.4811965812</v>
      </c>
    </row>
    <row r="667" ht="15.75" spans="1:5">
      <c r="A667" s="12">
        <v>666</v>
      </c>
      <c r="B667" s="16">
        <v>13</v>
      </c>
      <c r="C667" s="15" t="s">
        <v>188</v>
      </c>
      <c r="D667" s="14">
        <v>2278.35085470086</v>
      </c>
      <c r="E667" s="14">
        <v>1021.56239316239</v>
      </c>
    </row>
    <row r="668" ht="15.75" spans="1:5">
      <c r="A668" s="12">
        <v>667</v>
      </c>
      <c r="B668" s="16">
        <v>13</v>
      </c>
      <c r="C668" s="15" t="s">
        <v>111</v>
      </c>
      <c r="D668" s="14">
        <v>1786.49102564103</v>
      </c>
      <c r="E668" s="14">
        <v>1330.47435897436</v>
      </c>
    </row>
    <row r="669" ht="15.75" spans="1:5">
      <c r="A669" s="12">
        <v>668</v>
      </c>
      <c r="B669" s="16">
        <v>13</v>
      </c>
      <c r="C669" s="15" t="s">
        <v>111</v>
      </c>
      <c r="D669" s="14">
        <v>1783.49188034188</v>
      </c>
      <c r="E669" s="14">
        <v>1414.45042735043</v>
      </c>
    </row>
    <row r="670" ht="15.75" spans="1:5">
      <c r="A670" s="12">
        <v>669</v>
      </c>
      <c r="B670" s="16">
        <v>13</v>
      </c>
      <c r="C670" s="15" t="s">
        <v>189</v>
      </c>
      <c r="D670" s="14">
        <v>1762.49786324786</v>
      </c>
      <c r="E670" s="14">
        <v>1543.41367521368</v>
      </c>
    </row>
    <row r="671" ht="15.75" spans="1:5">
      <c r="A671" s="12">
        <v>670</v>
      </c>
      <c r="B671" s="16">
        <v>13</v>
      </c>
      <c r="C671" s="15" t="s">
        <v>112</v>
      </c>
      <c r="D671" s="14">
        <v>1576.55085470085</v>
      </c>
      <c r="E671" s="14">
        <v>2206.22478632479</v>
      </c>
    </row>
    <row r="672" ht="15.75" spans="1:5">
      <c r="A672" s="12">
        <v>671</v>
      </c>
      <c r="B672" s="16">
        <v>14</v>
      </c>
      <c r="C672" s="15" t="s">
        <v>256</v>
      </c>
      <c r="D672" s="14">
        <v>1891.46111111111</v>
      </c>
      <c r="E672" s="14">
        <v>2212.22307692308</v>
      </c>
    </row>
    <row r="673" ht="15.75" spans="1:5">
      <c r="A673" s="12">
        <v>672</v>
      </c>
      <c r="B673" s="16">
        <v>14</v>
      </c>
      <c r="C673" s="15" t="s">
        <v>211</v>
      </c>
      <c r="D673" s="14">
        <v>1855.47136752137</v>
      </c>
      <c r="E673" s="14">
        <v>1852.32564102564</v>
      </c>
    </row>
    <row r="674" ht="15.75" spans="1:5">
      <c r="A674" s="12">
        <v>673</v>
      </c>
      <c r="B674" s="16">
        <v>14</v>
      </c>
      <c r="C674" s="15" t="s">
        <v>211</v>
      </c>
      <c r="D674" s="14">
        <v>1870.46709401709</v>
      </c>
      <c r="E674" s="14">
        <v>1672.37692307692</v>
      </c>
    </row>
    <row r="675" ht="15.75" spans="1:5">
      <c r="A675" s="12">
        <v>674</v>
      </c>
      <c r="B675" s="16">
        <v>14</v>
      </c>
      <c r="C675" s="15" t="s">
        <v>213</v>
      </c>
      <c r="D675" s="14">
        <v>1648.53034188034</v>
      </c>
      <c r="E675" s="14">
        <v>1369.46324786325</v>
      </c>
    </row>
    <row r="676" ht="15.75" spans="1:5">
      <c r="A676" s="12">
        <v>675</v>
      </c>
      <c r="B676" s="16">
        <v>14</v>
      </c>
      <c r="C676" s="15" t="s">
        <v>217</v>
      </c>
      <c r="D676" s="14">
        <v>1735.50555555556</v>
      </c>
      <c r="E676" s="14">
        <v>1102.53931623932</v>
      </c>
    </row>
    <row r="677" ht="15.75" spans="1:5">
      <c r="A677" s="12">
        <v>676</v>
      </c>
      <c r="B677" s="16">
        <v>14</v>
      </c>
      <c r="C677" s="15" t="s">
        <v>218</v>
      </c>
      <c r="D677" s="14">
        <v>1825.47991452992</v>
      </c>
      <c r="E677" s="14">
        <v>781.630769230769</v>
      </c>
    </row>
    <row r="678" ht="15.75" spans="1:5">
      <c r="A678" s="12">
        <v>677</v>
      </c>
      <c r="B678" s="16">
        <v>14</v>
      </c>
      <c r="C678" s="15" t="s">
        <v>222</v>
      </c>
      <c r="D678" s="14">
        <v>1783.49188034188</v>
      </c>
      <c r="E678" s="14">
        <v>1387.45811965812</v>
      </c>
    </row>
    <row r="679" ht="15.75" spans="1:5">
      <c r="A679" s="12">
        <v>678</v>
      </c>
      <c r="B679" s="16">
        <v>14</v>
      </c>
      <c r="C679" s="15" t="s">
        <v>226</v>
      </c>
      <c r="D679" s="14">
        <v>1651.52948717949</v>
      </c>
      <c r="E679" s="14">
        <v>1657.3811965812</v>
      </c>
    </row>
    <row r="680" ht="15.75" spans="1:5">
      <c r="A680" s="12">
        <v>679</v>
      </c>
      <c r="B680" s="16">
        <v>14</v>
      </c>
      <c r="C680" s="15" t="s">
        <v>228</v>
      </c>
      <c r="D680" s="14">
        <v>1648.53034188034</v>
      </c>
      <c r="E680" s="14">
        <v>1840.32905982906</v>
      </c>
    </row>
    <row r="681" ht="15.75" spans="1:5">
      <c r="A681" s="12">
        <v>680</v>
      </c>
      <c r="B681" s="16">
        <v>14</v>
      </c>
      <c r="C681" s="15" t="s">
        <v>229</v>
      </c>
      <c r="D681" s="14">
        <v>1630.53547008547</v>
      </c>
      <c r="E681" s="14">
        <v>2149.24102564103</v>
      </c>
    </row>
    <row r="682" ht="15.75" spans="1:5">
      <c r="A682" s="12">
        <v>681</v>
      </c>
      <c r="B682" s="16">
        <v>15</v>
      </c>
      <c r="C682" s="17" t="s">
        <v>68</v>
      </c>
      <c r="D682" s="14">
        <v>1732.50641025641</v>
      </c>
      <c r="E682" s="14">
        <v>2161.23760683761</v>
      </c>
    </row>
    <row r="683" ht="15.75" spans="1:5">
      <c r="A683" s="12">
        <v>682</v>
      </c>
      <c r="B683" s="16">
        <v>15</v>
      </c>
      <c r="C683" s="17" t="s">
        <v>230</v>
      </c>
      <c r="D683" s="14">
        <v>1777.49358974359</v>
      </c>
      <c r="E683" s="14">
        <v>1918.30683760684</v>
      </c>
    </row>
    <row r="684" ht="15.75" spans="1:5">
      <c r="A684" s="12">
        <v>683</v>
      </c>
      <c r="B684" s="16">
        <v>15</v>
      </c>
      <c r="C684" s="17" t="s">
        <v>186</v>
      </c>
      <c r="D684" s="14">
        <v>1882.46367521368</v>
      </c>
      <c r="E684" s="14">
        <v>1834.33076923077</v>
      </c>
    </row>
    <row r="685" ht="15.75" spans="1:5">
      <c r="A685" s="12">
        <v>684</v>
      </c>
      <c r="B685" s="16">
        <v>15</v>
      </c>
      <c r="C685" s="17" t="s">
        <v>186</v>
      </c>
      <c r="D685" s="14">
        <v>1756.49957264957</v>
      </c>
      <c r="E685" s="14">
        <v>1516.42136752137</v>
      </c>
    </row>
    <row r="686" ht="15.75" spans="1:5">
      <c r="A686" s="12">
        <v>685</v>
      </c>
      <c r="B686" s="16">
        <v>15</v>
      </c>
      <c r="C686" s="17" t="s">
        <v>70</v>
      </c>
      <c r="D686" s="14">
        <v>1774.49444444444</v>
      </c>
      <c r="E686" s="14">
        <v>1336.47264957265</v>
      </c>
    </row>
    <row r="687" ht="15.75" spans="1:5">
      <c r="A687" s="12">
        <v>686</v>
      </c>
      <c r="B687" s="16">
        <v>15</v>
      </c>
      <c r="C687" s="17" t="s">
        <v>70</v>
      </c>
      <c r="D687" s="14">
        <v>1771.4952991453</v>
      </c>
      <c r="E687" s="14">
        <v>1288.48632478632</v>
      </c>
    </row>
    <row r="688" ht="15.75" spans="1:5">
      <c r="A688" s="12">
        <v>687</v>
      </c>
      <c r="B688" s="16">
        <v>15</v>
      </c>
      <c r="C688" s="17" t="s">
        <v>141</v>
      </c>
      <c r="D688" s="14">
        <v>1393.60299145299</v>
      </c>
      <c r="E688" s="14">
        <v>1282.48803418803</v>
      </c>
    </row>
    <row r="689" ht="15.75" spans="1:5">
      <c r="A689" s="12">
        <v>688</v>
      </c>
      <c r="B689" s="16">
        <v>15</v>
      </c>
      <c r="C689" s="17" t="s">
        <v>74</v>
      </c>
      <c r="D689" s="14">
        <v>1309.62692307692</v>
      </c>
      <c r="E689" s="14">
        <v>1231.50256410256</v>
      </c>
    </row>
    <row r="690" ht="15.75" spans="1:5">
      <c r="A690" s="12">
        <v>689</v>
      </c>
      <c r="B690" s="16">
        <v>15</v>
      </c>
      <c r="C690" s="17" t="s">
        <v>75</v>
      </c>
      <c r="D690" s="14">
        <v>1192.66025641026</v>
      </c>
      <c r="E690" s="14">
        <v>1177.51794871795</v>
      </c>
    </row>
    <row r="691" ht="15.75" spans="1:5">
      <c r="A691" s="12">
        <v>690</v>
      </c>
      <c r="B691" s="16">
        <v>15</v>
      </c>
      <c r="C691" s="17" t="s">
        <v>78</v>
      </c>
      <c r="D691" s="14">
        <v>1384.60555555556</v>
      </c>
      <c r="E691" s="14">
        <v>1150.52564102564</v>
      </c>
    </row>
    <row r="692" ht="15.75" spans="1:5">
      <c r="A692" s="12">
        <v>691</v>
      </c>
      <c r="B692" s="16">
        <v>15</v>
      </c>
      <c r="C692" s="17" t="s">
        <v>79</v>
      </c>
      <c r="D692" s="14">
        <v>1381.60641025641</v>
      </c>
      <c r="E692" s="14">
        <v>1045.55555555556</v>
      </c>
    </row>
    <row r="693" ht="15.75" spans="1:5">
      <c r="A693" s="12">
        <v>692</v>
      </c>
      <c r="B693" s="16">
        <v>15</v>
      </c>
      <c r="C693" s="18" t="s">
        <v>257</v>
      </c>
      <c r="D693" s="14">
        <v>1231.64914529915</v>
      </c>
      <c r="E693" s="14">
        <v>1018.56324786325</v>
      </c>
    </row>
    <row r="694" ht="15.75" spans="1:5">
      <c r="A694" s="12">
        <v>693</v>
      </c>
      <c r="B694" s="16">
        <v>15</v>
      </c>
      <c r="C694" s="17" t="s">
        <v>80</v>
      </c>
      <c r="D694" s="14">
        <v>1138.67564102564</v>
      </c>
      <c r="E694" s="14">
        <v>913.593162393162</v>
      </c>
    </row>
    <row r="695" ht="15.75" spans="1:5">
      <c r="A695" s="12">
        <v>694</v>
      </c>
      <c r="B695" s="16">
        <v>15</v>
      </c>
      <c r="C695" s="17" t="s">
        <v>81</v>
      </c>
      <c r="D695" s="14">
        <v>1156.67051282051</v>
      </c>
      <c r="E695" s="14">
        <v>877.603418803419</v>
      </c>
    </row>
    <row r="696" ht="15.75" spans="1:5">
      <c r="A696" s="12">
        <v>695</v>
      </c>
      <c r="B696" s="16">
        <v>15</v>
      </c>
      <c r="C696" s="17" t="s">
        <v>81</v>
      </c>
      <c r="D696" s="14">
        <v>1375.60811965812</v>
      </c>
      <c r="E696" s="14">
        <v>817.620512820513</v>
      </c>
    </row>
    <row r="697" ht="15.75" spans="1:5">
      <c r="A697" s="12">
        <v>696</v>
      </c>
      <c r="B697" s="16">
        <v>15</v>
      </c>
      <c r="C697" s="17" t="s">
        <v>82</v>
      </c>
      <c r="D697" s="14">
        <v>1345.61666666667</v>
      </c>
      <c r="E697" s="14">
        <v>763.635897435897</v>
      </c>
    </row>
    <row r="698" ht="15.75" spans="1:5">
      <c r="A698" s="12">
        <v>697</v>
      </c>
      <c r="B698" s="16">
        <v>15</v>
      </c>
      <c r="C698" s="17" t="s">
        <v>83</v>
      </c>
      <c r="D698" s="14">
        <v>1399.60128205128</v>
      </c>
      <c r="E698" s="14">
        <v>742.64188034188</v>
      </c>
    </row>
    <row r="699" ht="15.75" spans="1:5">
      <c r="A699" s="12">
        <v>698</v>
      </c>
      <c r="B699" s="16">
        <v>15</v>
      </c>
      <c r="C699" s="17" t="s">
        <v>83</v>
      </c>
      <c r="D699" s="14">
        <v>1384.60555555556</v>
      </c>
      <c r="E699" s="14">
        <v>616.677777777778</v>
      </c>
    </row>
    <row r="700" ht="15.75" spans="1:5">
      <c r="A700" s="12">
        <v>699</v>
      </c>
      <c r="B700" s="16">
        <v>15</v>
      </c>
      <c r="C700" s="17" t="s">
        <v>84</v>
      </c>
      <c r="D700" s="14">
        <v>1324.62264957265</v>
      </c>
      <c r="E700" s="14">
        <v>640.67094017094</v>
      </c>
    </row>
    <row r="701" ht="15.75" spans="1:5">
      <c r="A701" s="12">
        <v>700</v>
      </c>
      <c r="B701" s="16">
        <v>15</v>
      </c>
      <c r="C701" s="17" t="s">
        <v>85</v>
      </c>
      <c r="D701" s="14">
        <v>1348.61581196581</v>
      </c>
      <c r="E701" s="14">
        <v>373.747008547008</v>
      </c>
    </row>
    <row r="702" ht="15.75" spans="1:5">
      <c r="A702" s="12">
        <v>701</v>
      </c>
      <c r="B702" s="16">
        <v>15</v>
      </c>
      <c r="C702" s="17" t="s">
        <v>86</v>
      </c>
      <c r="D702" s="14">
        <v>1468.58162393162</v>
      </c>
      <c r="E702" s="14">
        <v>298.768376068376</v>
      </c>
    </row>
    <row r="703" ht="15.75" spans="1:5">
      <c r="A703" s="12">
        <v>702</v>
      </c>
      <c r="B703" s="16">
        <v>15</v>
      </c>
      <c r="C703" s="17" t="s">
        <v>86</v>
      </c>
      <c r="D703" s="14">
        <v>1348.61581196581</v>
      </c>
      <c r="E703" s="14">
        <v>283.772649572649</v>
      </c>
    </row>
    <row r="704" ht="15.75" spans="1:5">
      <c r="A704" s="12">
        <v>703</v>
      </c>
      <c r="B704" s="16">
        <v>15</v>
      </c>
      <c r="C704" s="17" t="s">
        <v>142</v>
      </c>
      <c r="D704" s="14">
        <v>1702.51495726496</v>
      </c>
      <c r="E704" s="14">
        <v>352.752991452991</v>
      </c>
    </row>
    <row r="705" ht="15.75" spans="1:5">
      <c r="A705" s="12">
        <v>704</v>
      </c>
      <c r="B705" s="16">
        <v>15</v>
      </c>
      <c r="C705" s="17" t="s">
        <v>142</v>
      </c>
      <c r="D705" s="14">
        <v>2026.42264957265</v>
      </c>
      <c r="E705" s="14">
        <v>316.763247863248</v>
      </c>
    </row>
    <row r="706" ht="15.75" spans="1:5">
      <c r="A706" s="12">
        <v>705</v>
      </c>
      <c r="B706" s="16">
        <v>15</v>
      </c>
      <c r="C706" s="17" t="s">
        <v>87</v>
      </c>
      <c r="D706" s="14">
        <v>2263.35512820513</v>
      </c>
      <c r="E706" s="14">
        <v>313.764102564102</v>
      </c>
    </row>
    <row r="707" ht="15.75" spans="1:5">
      <c r="A707" s="12">
        <v>706</v>
      </c>
      <c r="B707" s="16">
        <v>15</v>
      </c>
      <c r="C707" s="17" t="s">
        <v>88</v>
      </c>
      <c r="D707" s="14">
        <v>2323.33803418804</v>
      </c>
      <c r="E707" s="14">
        <v>433.729914529914</v>
      </c>
    </row>
    <row r="708" ht="15.75" spans="1:5">
      <c r="A708" s="12">
        <v>707</v>
      </c>
      <c r="B708" s="16">
        <v>15</v>
      </c>
      <c r="C708" s="17" t="s">
        <v>88</v>
      </c>
      <c r="D708" s="14">
        <v>2290.34743589744</v>
      </c>
      <c r="E708" s="14">
        <v>559.694017094017</v>
      </c>
    </row>
    <row r="709" ht="15.75" spans="1:5">
      <c r="A709" s="12">
        <v>708</v>
      </c>
      <c r="B709" s="16">
        <v>15</v>
      </c>
      <c r="C709" s="17" t="s">
        <v>89</v>
      </c>
      <c r="D709" s="14">
        <v>2134.39188034188</v>
      </c>
      <c r="E709" s="14">
        <v>646.669230769231</v>
      </c>
    </row>
    <row r="710" ht="15.75" spans="1:5">
      <c r="A710" s="12">
        <v>709</v>
      </c>
      <c r="B710" s="16">
        <v>15</v>
      </c>
      <c r="C710" s="17" t="s">
        <v>90</v>
      </c>
      <c r="D710" s="14">
        <v>2128.39358974359</v>
      </c>
      <c r="E710" s="14">
        <v>874.604273504274</v>
      </c>
    </row>
    <row r="711" ht="15.75" spans="1:5">
      <c r="A711" s="12">
        <v>710</v>
      </c>
      <c r="B711" s="16">
        <v>15</v>
      </c>
      <c r="C711" s="17" t="s">
        <v>91</v>
      </c>
      <c r="D711" s="14">
        <v>2233.36367521368</v>
      </c>
      <c r="E711" s="14">
        <v>1033.55897435897</v>
      </c>
    </row>
    <row r="712" ht="15.75" spans="1:5">
      <c r="A712" s="12">
        <v>711</v>
      </c>
      <c r="B712" s="16">
        <v>15</v>
      </c>
      <c r="C712" s="17" t="s">
        <v>92</v>
      </c>
      <c r="D712" s="14">
        <v>2125.39444444445</v>
      </c>
      <c r="E712" s="14">
        <v>1102.53931623932</v>
      </c>
    </row>
    <row r="713" ht="15.75" spans="1:5">
      <c r="A713" s="12">
        <v>712</v>
      </c>
      <c r="B713" s="16">
        <v>15</v>
      </c>
      <c r="C713" s="17" t="s">
        <v>93</v>
      </c>
      <c r="D713" s="14">
        <v>2194.37478632479</v>
      </c>
      <c r="E713" s="14">
        <v>1186.51538461538</v>
      </c>
    </row>
    <row r="714" ht="15.75" spans="1:5">
      <c r="A714" s="12">
        <v>713</v>
      </c>
      <c r="B714" s="16">
        <v>15</v>
      </c>
      <c r="C714" s="17" t="s">
        <v>93</v>
      </c>
      <c r="D714" s="14">
        <v>2287.34829059829</v>
      </c>
      <c r="E714" s="14">
        <v>1168.52051282051</v>
      </c>
    </row>
    <row r="715" ht="15.75" spans="1:5">
      <c r="A715" s="12">
        <v>714</v>
      </c>
      <c r="B715" s="16">
        <v>15</v>
      </c>
      <c r="C715" s="17" t="s">
        <v>95</v>
      </c>
      <c r="D715" s="14">
        <v>2305.34316239316</v>
      </c>
      <c r="E715" s="14">
        <v>1321.47692307692</v>
      </c>
    </row>
    <row r="716" ht="15.75" spans="1:5">
      <c r="A716" s="12">
        <v>715</v>
      </c>
      <c r="B716" s="16">
        <v>15</v>
      </c>
      <c r="C716" s="17" t="s">
        <v>96</v>
      </c>
      <c r="D716" s="14">
        <v>2176.37991452992</v>
      </c>
      <c r="E716" s="14">
        <v>1255.49572649573</v>
      </c>
    </row>
    <row r="717" ht="15.75" spans="1:5">
      <c r="A717" s="12">
        <v>716</v>
      </c>
      <c r="B717" s="16">
        <v>15</v>
      </c>
      <c r="C717" s="17" t="s">
        <v>98</v>
      </c>
      <c r="D717" s="14">
        <v>2026.42264957265</v>
      </c>
      <c r="E717" s="14">
        <v>1306.4811965812</v>
      </c>
    </row>
    <row r="718" ht="15.75" spans="1:5">
      <c r="A718" s="12">
        <v>717</v>
      </c>
      <c r="B718" s="16">
        <v>15</v>
      </c>
      <c r="C718" s="17" t="s">
        <v>99</v>
      </c>
      <c r="D718" s="14">
        <v>1726.50811965812</v>
      </c>
      <c r="E718" s="14">
        <v>1291.48547008547</v>
      </c>
    </row>
    <row r="719" ht="15.75" spans="1:5">
      <c r="A719" s="12">
        <v>718</v>
      </c>
      <c r="B719" s="16">
        <v>15</v>
      </c>
      <c r="C719" s="17" t="s">
        <v>100</v>
      </c>
      <c r="D719" s="14">
        <v>1408.59871794872</v>
      </c>
      <c r="E719" s="14">
        <v>1291.48547008547</v>
      </c>
    </row>
    <row r="720" ht="15.75" spans="1:5">
      <c r="A720" s="12">
        <v>719</v>
      </c>
      <c r="B720" s="16">
        <v>15</v>
      </c>
      <c r="C720" s="17" t="s">
        <v>100</v>
      </c>
      <c r="D720" s="14">
        <v>1252.64316239316</v>
      </c>
      <c r="E720" s="14">
        <v>1258.49487179487</v>
      </c>
    </row>
    <row r="721" ht="15.75" spans="1:5">
      <c r="A721" s="12">
        <v>720</v>
      </c>
      <c r="B721" s="16">
        <v>15</v>
      </c>
      <c r="C721" s="17" t="s">
        <v>101</v>
      </c>
      <c r="D721" s="14">
        <v>1249.64401709402</v>
      </c>
      <c r="E721" s="14">
        <v>1156.52393162393</v>
      </c>
    </row>
    <row r="722" ht="15.75" spans="1:5">
      <c r="A722" s="12">
        <v>721</v>
      </c>
      <c r="B722" s="16">
        <v>15</v>
      </c>
      <c r="C722" s="17" t="s">
        <v>103</v>
      </c>
      <c r="D722" s="14">
        <v>1354.6141025641</v>
      </c>
      <c r="E722" s="14">
        <v>1144.52735042735</v>
      </c>
    </row>
    <row r="723" ht="15.75" spans="1:5">
      <c r="A723" s="12">
        <v>722</v>
      </c>
      <c r="B723" s="16">
        <v>15</v>
      </c>
      <c r="C723" s="17" t="s">
        <v>104</v>
      </c>
      <c r="D723" s="14">
        <v>1384.60555555556</v>
      </c>
      <c r="E723" s="14">
        <v>1087.54358974359</v>
      </c>
    </row>
    <row r="724" ht="15.75" spans="1:5">
      <c r="A724" s="12">
        <v>723</v>
      </c>
      <c r="B724" s="16">
        <v>15</v>
      </c>
      <c r="C724" s="17" t="s">
        <v>105</v>
      </c>
      <c r="D724" s="14">
        <v>1258.64145299145</v>
      </c>
      <c r="E724" s="14">
        <v>1069.54871794872</v>
      </c>
    </row>
    <row r="725" ht="15.75" spans="1:5">
      <c r="A725" s="12">
        <v>724</v>
      </c>
      <c r="B725" s="16">
        <v>15</v>
      </c>
      <c r="C725" s="17" t="s">
        <v>105</v>
      </c>
      <c r="D725" s="14">
        <v>1228.65</v>
      </c>
      <c r="E725" s="14">
        <v>967.577777777778</v>
      </c>
    </row>
    <row r="726" ht="15.75" spans="1:5">
      <c r="A726" s="12">
        <v>725</v>
      </c>
      <c r="B726" s="16">
        <v>15</v>
      </c>
      <c r="C726" s="17" t="s">
        <v>106</v>
      </c>
      <c r="D726" s="14">
        <v>1384.60555555556</v>
      </c>
      <c r="E726" s="14">
        <v>898.597435897436</v>
      </c>
    </row>
    <row r="727" ht="15.75" spans="1:5">
      <c r="A727" s="12">
        <v>726</v>
      </c>
      <c r="B727" s="16">
        <v>15</v>
      </c>
      <c r="C727" s="17" t="s">
        <v>106</v>
      </c>
      <c r="D727" s="14">
        <v>1366.61068376068</v>
      </c>
      <c r="E727" s="14">
        <v>670.662393162393</v>
      </c>
    </row>
    <row r="728" ht="15.75" spans="1:5">
      <c r="A728" s="12">
        <v>727</v>
      </c>
      <c r="B728" s="16">
        <v>15</v>
      </c>
      <c r="C728" s="17" t="s">
        <v>187</v>
      </c>
      <c r="D728" s="14">
        <v>1318.62435897436</v>
      </c>
      <c r="E728" s="14">
        <v>544.69829059829</v>
      </c>
    </row>
    <row r="729" ht="15.75" spans="1:5">
      <c r="A729" s="12">
        <v>728</v>
      </c>
      <c r="B729" s="16">
        <v>15</v>
      </c>
      <c r="C729" s="17" t="s">
        <v>187</v>
      </c>
      <c r="D729" s="14">
        <v>1372.60897435897</v>
      </c>
      <c r="E729" s="14">
        <v>469.719658119658</v>
      </c>
    </row>
    <row r="730" ht="15.75" spans="1:5">
      <c r="A730" s="12">
        <v>729</v>
      </c>
      <c r="B730" s="16">
        <v>15</v>
      </c>
      <c r="C730" s="17" t="s">
        <v>187</v>
      </c>
      <c r="D730" s="14">
        <v>1258.64145299145</v>
      </c>
      <c r="E730" s="14">
        <v>331.758974358974</v>
      </c>
    </row>
    <row r="731" ht="15.75" spans="1:5">
      <c r="A731" s="12">
        <v>730</v>
      </c>
      <c r="B731" s="16">
        <v>15</v>
      </c>
      <c r="C731" s="17" t="s">
        <v>110</v>
      </c>
      <c r="D731" s="14">
        <v>1252.64316239316</v>
      </c>
      <c r="E731" s="14">
        <v>394.741025641025</v>
      </c>
    </row>
    <row r="732" ht="15.75" spans="1:5">
      <c r="A732" s="12">
        <v>731</v>
      </c>
      <c r="B732" s="16">
        <v>15</v>
      </c>
      <c r="C732" s="17" t="s">
        <v>111</v>
      </c>
      <c r="D732" s="14">
        <v>1399.60128205128</v>
      </c>
      <c r="E732" s="14">
        <v>346.754700854701</v>
      </c>
    </row>
    <row r="733" ht="15.75" spans="1:5">
      <c r="A733" s="12">
        <v>732</v>
      </c>
      <c r="B733" s="16">
        <v>15</v>
      </c>
      <c r="C733" s="17" t="s">
        <v>111</v>
      </c>
      <c r="D733" s="14">
        <v>1552.55769230769</v>
      </c>
      <c r="E733" s="14">
        <v>307.765811965812</v>
      </c>
    </row>
    <row r="734" ht="15.75" spans="1:5">
      <c r="A734" s="12">
        <v>733</v>
      </c>
      <c r="B734" s="16">
        <v>15</v>
      </c>
      <c r="C734" s="17" t="s">
        <v>190</v>
      </c>
      <c r="D734" s="14">
        <v>1849.47307692308</v>
      </c>
      <c r="E734" s="14">
        <v>412.735897435897</v>
      </c>
    </row>
    <row r="735" ht="15.75" spans="1:5">
      <c r="A735" s="12">
        <v>734</v>
      </c>
      <c r="B735" s="16">
        <v>15</v>
      </c>
      <c r="C735" s="17" t="s">
        <v>112</v>
      </c>
      <c r="D735" s="14">
        <v>2008.42777777778</v>
      </c>
      <c r="E735" s="14">
        <v>322.761538461538</v>
      </c>
    </row>
    <row r="736" ht="15.75" spans="1:5">
      <c r="A736" s="12">
        <v>735</v>
      </c>
      <c r="B736" s="16">
        <v>15</v>
      </c>
      <c r="C736" s="17" t="s">
        <v>112</v>
      </c>
      <c r="D736" s="14">
        <v>2278.35085470086</v>
      </c>
      <c r="E736" s="14">
        <v>310.764957264957</v>
      </c>
    </row>
    <row r="737" ht="15.75" spans="1:5">
      <c r="A737" s="12">
        <v>736</v>
      </c>
      <c r="B737" s="16">
        <v>15</v>
      </c>
      <c r="C737" s="17" t="s">
        <v>113</v>
      </c>
      <c r="D737" s="14">
        <v>2131.39273504274</v>
      </c>
      <c r="E737" s="14">
        <v>484.715384615384</v>
      </c>
    </row>
    <row r="738" ht="15.75" spans="1:5">
      <c r="A738" s="12">
        <v>737</v>
      </c>
      <c r="B738" s="16">
        <v>15</v>
      </c>
      <c r="C738" s="17" t="s">
        <v>113</v>
      </c>
      <c r="D738" s="14">
        <v>2284.34914529915</v>
      </c>
      <c r="E738" s="14">
        <v>526.703418803419</v>
      </c>
    </row>
    <row r="739" ht="15.75" spans="1:5">
      <c r="A739" s="12">
        <v>738</v>
      </c>
      <c r="B739" s="16">
        <v>15</v>
      </c>
      <c r="C739" s="17" t="s">
        <v>191</v>
      </c>
      <c r="D739" s="14">
        <v>2122.3952991453</v>
      </c>
      <c r="E739" s="14">
        <v>862.607692307692</v>
      </c>
    </row>
    <row r="740" ht="15.75" spans="1:5">
      <c r="A740" s="12">
        <v>739</v>
      </c>
      <c r="B740" s="16">
        <v>15</v>
      </c>
      <c r="C740" s="17" t="s">
        <v>192</v>
      </c>
      <c r="D740" s="14">
        <v>2104.40042735043</v>
      </c>
      <c r="E740" s="14">
        <v>1267.49230769231</v>
      </c>
    </row>
    <row r="741" ht="15.75" spans="1:5">
      <c r="A741" s="12">
        <v>740</v>
      </c>
      <c r="B741" s="16">
        <v>15</v>
      </c>
      <c r="C741" s="18" t="s">
        <v>115</v>
      </c>
      <c r="D741" s="14">
        <v>2005.42863247863</v>
      </c>
      <c r="E741" s="14">
        <v>1309.48034188034</v>
      </c>
    </row>
    <row r="742" ht="15.75" spans="1:5">
      <c r="A742" s="12">
        <v>741</v>
      </c>
      <c r="B742" s="1">
        <v>16</v>
      </c>
      <c r="C742" s="17" t="s">
        <v>201</v>
      </c>
      <c r="D742" s="14">
        <v>1633.53461538462</v>
      </c>
      <c r="E742" s="14">
        <v>2227.2188034188</v>
      </c>
    </row>
    <row r="743" ht="15.75" spans="1:5">
      <c r="A743" s="12">
        <v>742</v>
      </c>
      <c r="B743" s="1">
        <v>16</v>
      </c>
      <c r="C743" s="17" t="s">
        <v>202</v>
      </c>
      <c r="D743" s="14">
        <v>1750.50128205128</v>
      </c>
      <c r="E743" s="14">
        <v>1900.31196581197</v>
      </c>
    </row>
    <row r="744" ht="15.75" spans="1:5">
      <c r="A744" s="12">
        <v>743</v>
      </c>
      <c r="B744" s="1">
        <v>16</v>
      </c>
      <c r="C744" s="17" t="s">
        <v>202</v>
      </c>
      <c r="D744" s="14">
        <v>1759.49871794872</v>
      </c>
      <c r="E744" s="14">
        <v>1600.39743589744</v>
      </c>
    </row>
    <row r="745" ht="15.75" spans="1:5">
      <c r="A745" s="12">
        <v>744</v>
      </c>
      <c r="B745" s="1">
        <v>16</v>
      </c>
      <c r="C745" s="17" t="s">
        <v>203</v>
      </c>
      <c r="D745" s="14">
        <v>1927.45085470086</v>
      </c>
      <c r="E745" s="14">
        <v>1228.50341880342</v>
      </c>
    </row>
    <row r="746" ht="15.75" spans="1:5">
      <c r="A746" s="12">
        <v>745</v>
      </c>
      <c r="B746" s="1">
        <v>16</v>
      </c>
      <c r="C746" s="17" t="s">
        <v>203</v>
      </c>
      <c r="D746" s="14">
        <v>1672.5235042735</v>
      </c>
      <c r="E746" s="14">
        <v>1306.4811965812</v>
      </c>
    </row>
    <row r="747" ht="15.75" spans="1:5">
      <c r="A747" s="12">
        <v>746</v>
      </c>
      <c r="B747" s="1">
        <v>16</v>
      </c>
      <c r="C747" s="17" t="s">
        <v>205</v>
      </c>
      <c r="D747" s="14">
        <v>1321.6235042735</v>
      </c>
      <c r="E747" s="14">
        <v>1228.50341880342</v>
      </c>
    </row>
    <row r="748" ht="15.75" spans="1:5">
      <c r="A748" s="12">
        <v>747</v>
      </c>
      <c r="B748" s="1">
        <v>16</v>
      </c>
      <c r="C748" s="17" t="s">
        <v>135</v>
      </c>
      <c r="D748" s="14">
        <v>1192.66025641026</v>
      </c>
      <c r="E748" s="14">
        <v>1216.50683760684</v>
      </c>
    </row>
    <row r="749" ht="15.75" spans="1:5">
      <c r="A749" s="12">
        <v>748</v>
      </c>
      <c r="B749" s="1">
        <v>16</v>
      </c>
      <c r="C749" s="17" t="s">
        <v>206</v>
      </c>
      <c r="D749" s="14">
        <v>1312.62606837607</v>
      </c>
      <c r="E749" s="14">
        <v>1171.51965811966</v>
      </c>
    </row>
    <row r="750" ht="15.75" spans="1:5">
      <c r="A750" s="12">
        <v>749</v>
      </c>
      <c r="B750" s="1">
        <v>16</v>
      </c>
      <c r="C750" s="17" t="s">
        <v>208</v>
      </c>
      <c r="D750" s="14">
        <v>1381.60641025641</v>
      </c>
      <c r="E750" s="14">
        <v>1117.53504273504</v>
      </c>
    </row>
    <row r="751" ht="15.75" spans="1:5">
      <c r="A751" s="12">
        <v>750</v>
      </c>
      <c r="B751" s="1">
        <v>16</v>
      </c>
      <c r="C751" s="17" t="s">
        <v>208</v>
      </c>
      <c r="D751" s="14">
        <v>1366.61068376068</v>
      </c>
      <c r="E751" s="14">
        <v>1033.55897435897</v>
      </c>
    </row>
    <row r="752" ht="15.75" spans="1:5">
      <c r="A752" s="12">
        <v>751</v>
      </c>
      <c r="B752" s="1">
        <v>16</v>
      </c>
      <c r="C752" s="17" t="s">
        <v>209</v>
      </c>
      <c r="D752" s="14">
        <v>1306.62777777778</v>
      </c>
      <c r="E752" s="14">
        <v>1045.55555555556</v>
      </c>
    </row>
    <row r="753" ht="15.75" spans="1:5">
      <c r="A753" s="12">
        <v>752</v>
      </c>
      <c r="B753" s="1">
        <v>16</v>
      </c>
      <c r="C753" s="17" t="s">
        <v>209</v>
      </c>
      <c r="D753" s="14">
        <v>1195.6594017094</v>
      </c>
      <c r="E753" s="14">
        <v>1075.54700854701</v>
      </c>
    </row>
    <row r="754" ht="15.75" spans="1:5">
      <c r="A754" s="12">
        <v>753</v>
      </c>
      <c r="B754" s="1">
        <v>16</v>
      </c>
      <c r="C754" s="17" t="s">
        <v>210</v>
      </c>
      <c r="D754" s="14">
        <v>1156.67051282051</v>
      </c>
      <c r="E754" s="14">
        <v>907.594871794872</v>
      </c>
    </row>
    <row r="755" ht="15.75" spans="1:5">
      <c r="A755" s="12">
        <v>754</v>
      </c>
      <c r="B755" s="1">
        <v>16</v>
      </c>
      <c r="C755" s="17" t="s">
        <v>210</v>
      </c>
      <c r="D755" s="14">
        <v>1375.60811965812</v>
      </c>
      <c r="E755" s="14">
        <v>931.588034188034</v>
      </c>
    </row>
    <row r="756" ht="15.75" spans="1:5">
      <c r="A756" s="12">
        <v>755</v>
      </c>
      <c r="B756" s="1">
        <v>16</v>
      </c>
      <c r="C756" s="17" t="s">
        <v>256</v>
      </c>
      <c r="D756" s="14">
        <v>1405.59957264957</v>
      </c>
      <c r="E756" s="14">
        <v>832.616239316239</v>
      </c>
    </row>
    <row r="757" ht="15.75" spans="1:5">
      <c r="A757" s="12">
        <v>756</v>
      </c>
      <c r="B757" s="1">
        <v>16</v>
      </c>
      <c r="C757" s="17" t="s">
        <v>256</v>
      </c>
      <c r="D757" s="14">
        <v>1372.60897435897</v>
      </c>
      <c r="E757" s="14">
        <v>688.657264957265</v>
      </c>
    </row>
    <row r="758" ht="15.75" spans="1:5">
      <c r="A758" s="12">
        <v>757</v>
      </c>
      <c r="B758" s="1">
        <v>16</v>
      </c>
      <c r="C758" s="17" t="s">
        <v>211</v>
      </c>
      <c r="D758" s="14">
        <v>1192.66025641026</v>
      </c>
      <c r="E758" s="14">
        <v>538.7</v>
      </c>
    </row>
    <row r="759" ht="15.75" spans="1:5">
      <c r="A759" s="12">
        <v>758</v>
      </c>
      <c r="B759" s="1">
        <v>16</v>
      </c>
      <c r="C759" s="17" t="s">
        <v>212</v>
      </c>
      <c r="D759" s="14">
        <v>1498.57307692308</v>
      </c>
      <c r="E759" s="14">
        <v>331.758974358974</v>
      </c>
    </row>
    <row r="760" ht="15.75" spans="1:5">
      <c r="A760" s="12">
        <v>759</v>
      </c>
      <c r="B760" s="1">
        <v>16</v>
      </c>
      <c r="C760" s="17" t="s">
        <v>213</v>
      </c>
      <c r="D760" s="14">
        <v>1780.49273504274</v>
      </c>
      <c r="E760" s="14">
        <v>406.737606837607</v>
      </c>
    </row>
    <row r="761" ht="15.75" spans="1:5">
      <c r="A761" s="12">
        <v>760</v>
      </c>
      <c r="B761" s="1">
        <v>16</v>
      </c>
      <c r="C761" s="17" t="s">
        <v>213</v>
      </c>
      <c r="D761" s="14">
        <v>2143.38931623932</v>
      </c>
      <c r="E761" s="14">
        <v>292.770085470085</v>
      </c>
    </row>
    <row r="762" ht="15.75" spans="1:5">
      <c r="A762" s="12">
        <v>761</v>
      </c>
      <c r="B762" s="1">
        <v>16</v>
      </c>
      <c r="C762" s="17" t="s">
        <v>136</v>
      </c>
      <c r="D762" s="14">
        <v>2239.36196581197</v>
      </c>
      <c r="E762" s="14">
        <v>550.696581196581</v>
      </c>
    </row>
    <row r="763" ht="15.75" spans="1:5">
      <c r="A763" s="12">
        <v>762</v>
      </c>
      <c r="B763" s="1">
        <v>16</v>
      </c>
      <c r="C763" s="17" t="s">
        <v>136</v>
      </c>
      <c r="D763" s="14">
        <v>2194.37478632479</v>
      </c>
      <c r="E763" s="14">
        <v>634.672649572649</v>
      </c>
    </row>
    <row r="764" ht="15.75" spans="1:5">
      <c r="A764" s="12">
        <v>763</v>
      </c>
      <c r="B764" s="1">
        <v>16</v>
      </c>
      <c r="C764" s="17" t="s">
        <v>214</v>
      </c>
      <c r="D764" s="14">
        <v>2170.38162393162</v>
      </c>
      <c r="E764" s="14">
        <v>841.613675213675</v>
      </c>
    </row>
    <row r="765" ht="15.75" spans="1:5">
      <c r="A765" s="12">
        <v>764</v>
      </c>
      <c r="B765" s="1">
        <v>16</v>
      </c>
      <c r="C765" s="17" t="s">
        <v>215</v>
      </c>
      <c r="D765" s="14">
        <v>2380.3217948718</v>
      </c>
      <c r="E765" s="14">
        <v>949.582905982906</v>
      </c>
    </row>
    <row r="766" ht="15.75" spans="1:5">
      <c r="A766" s="12">
        <v>765</v>
      </c>
      <c r="B766" s="1">
        <v>16</v>
      </c>
      <c r="C766" s="17" t="s">
        <v>216</v>
      </c>
      <c r="D766" s="14">
        <v>2278.35085470086</v>
      </c>
      <c r="E766" s="14">
        <v>1174.5188034188</v>
      </c>
    </row>
    <row r="767" ht="15.75" spans="1:5">
      <c r="A767" s="12">
        <v>766</v>
      </c>
      <c r="B767" s="1">
        <v>16</v>
      </c>
      <c r="C767" s="17" t="s">
        <v>217</v>
      </c>
      <c r="D767" s="14">
        <v>2203.37222222222</v>
      </c>
      <c r="E767" s="14">
        <v>1309.48034188034</v>
      </c>
    </row>
    <row r="768" ht="15.75" spans="1:5">
      <c r="A768" s="12">
        <v>767</v>
      </c>
      <c r="B768" s="1">
        <v>16</v>
      </c>
      <c r="C768" s="17" t="s">
        <v>241</v>
      </c>
      <c r="D768" s="14">
        <v>1993.43205128205</v>
      </c>
      <c r="E768" s="14">
        <v>1309.48034188034</v>
      </c>
    </row>
    <row r="769" ht="15.75" spans="1:5">
      <c r="A769" s="12">
        <v>768</v>
      </c>
      <c r="B769" s="1">
        <v>16</v>
      </c>
      <c r="C769" s="17" t="s">
        <v>258</v>
      </c>
      <c r="D769" s="14">
        <v>1600.54401709402</v>
      </c>
      <c r="E769" s="14">
        <v>1279.48888888889</v>
      </c>
    </row>
    <row r="770" ht="15.75" spans="1:5">
      <c r="A770" s="12">
        <v>769</v>
      </c>
      <c r="B770" s="1">
        <v>16</v>
      </c>
      <c r="C770" s="17" t="s">
        <v>218</v>
      </c>
      <c r="D770" s="14">
        <v>1342.61752136752</v>
      </c>
      <c r="E770" s="14">
        <v>1318.47777777778</v>
      </c>
    </row>
    <row r="771" ht="15.75" spans="1:5">
      <c r="A771" s="12">
        <v>770</v>
      </c>
      <c r="B771" s="1">
        <v>16</v>
      </c>
      <c r="C771" s="17" t="s">
        <v>219</v>
      </c>
      <c r="D771" s="14">
        <v>1279.63547008547</v>
      </c>
      <c r="E771" s="14">
        <v>1144.52735042735</v>
      </c>
    </row>
    <row r="772" ht="15.75" spans="1:5">
      <c r="A772" s="12">
        <v>771</v>
      </c>
      <c r="B772" s="1">
        <v>16</v>
      </c>
      <c r="C772" s="17" t="s">
        <v>219</v>
      </c>
      <c r="D772" s="14">
        <v>1336.61923076923</v>
      </c>
      <c r="E772" s="14">
        <v>1045.55555555556</v>
      </c>
    </row>
    <row r="773" ht="15.75" spans="1:5">
      <c r="A773" s="12">
        <v>772</v>
      </c>
      <c r="B773" s="1">
        <v>16</v>
      </c>
      <c r="C773" s="17" t="s">
        <v>220</v>
      </c>
      <c r="D773" s="14">
        <v>1351.61495726496</v>
      </c>
      <c r="E773" s="14">
        <v>955.581196581197</v>
      </c>
    </row>
    <row r="774" ht="15.75" spans="1:5">
      <c r="A774" s="12">
        <v>773</v>
      </c>
      <c r="B774" s="1">
        <v>16</v>
      </c>
      <c r="C774" s="17" t="s">
        <v>221</v>
      </c>
      <c r="D774" s="14">
        <v>1240.64658119658</v>
      </c>
      <c r="E774" s="14">
        <v>559.694017094017</v>
      </c>
    </row>
    <row r="775" ht="15.75" spans="1:5">
      <c r="A775" s="12">
        <v>774</v>
      </c>
      <c r="B775" s="1">
        <v>16</v>
      </c>
      <c r="C775" s="17" t="s">
        <v>222</v>
      </c>
      <c r="D775" s="14">
        <v>1249.64401709402</v>
      </c>
      <c r="E775" s="14">
        <v>331.758974358974</v>
      </c>
    </row>
    <row r="776" ht="15.75" spans="1:5">
      <c r="A776" s="12">
        <v>775</v>
      </c>
      <c r="B776" s="1">
        <v>16</v>
      </c>
      <c r="C776" s="17" t="s">
        <v>223</v>
      </c>
      <c r="D776" s="14">
        <v>1627.53632478633</v>
      </c>
      <c r="E776" s="14">
        <v>418.734188034188</v>
      </c>
    </row>
    <row r="777" ht="15.75" spans="1:5">
      <c r="A777" s="12">
        <v>776</v>
      </c>
      <c r="B777" s="1">
        <v>16</v>
      </c>
      <c r="C777" s="17" t="s">
        <v>224</v>
      </c>
      <c r="D777" s="14">
        <v>1720.50982905983</v>
      </c>
      <c r="E777" s="14">
        <v>370.747863247863</v>
      </c>
    </row>
    <row r="778" ht="15.75" spans="1:5">
      <c r="A778" s="12">
        <v>777</v>
      </c>
      <c r="B778" s="1">
        <v>16</v>
      </c>
      <c r="C778" s="17" t="s">
        <v>228</v>
      </c>
      <c r="D778" s="14">
        <v>2116.39700854701</v>
      </c>
      <c r="E778" s="14">
        <v>304.766666666666</v>
      </c>
    </row>
    <row r="779" ht="15.75" spans="1:5">
      <c r="A779" s="12">
        <v>778</v>
      </c>
      <c r="B779" s="1">
        <v>16</v>
      </c>
      <c r="C779" s="17" t="s">
        <v>138</v>
      </c>
      <c r="D779" s="14">
        <v>2218.36794871795</v>
      </c>
      <c r="E779" s="14">
        <v>430.730769230769</v>
      </c>
    </row>
    <row r="780" ht="15.75" spans="1:5">
      <c r="A780" s="12">
        <v>779</v>
      </c>
      <c r="B780" s="1">
        <v>16</v>
      </c>
      <c r="C780" s="17" t="s">
        <v>138</v>
      </c>
      <c r="D780" s="14">
        <v>2254.35769230769</v>
      </c>
      <c r="E780" s="14">
        <v>526.703418803419</v>
      </c>
    </row>
    <row r="781" ht="15.75" spans="1:5">
      <c r="A781" s="12">
        <v>780</v>
      </c>
      <c r="B781" s="1">
        <v>16</v>
      </c>
      <c r="C781" s="17" t="s">
        <v>229</v>
      </c>
      <c r="D781" s="14">
        <v>2140.39017094017</v>
      </c>
      <c r="E781" s="14">
        <v>757.637606837607</v>
      </c>
    </row>
    <row r="782" ht="15.75" spans="1:5">
      <c r="A782" s="12">
        <v>781</v>
      </c>
      <c r="B782" s="1">
        <v>16</v>
      </c>
      <c r="C782" s="17" t="s">
        <v>139</v>
      </c>
      <c r="D782" s="14">
        <v>2032.42094017094</v>
      </c>
      <c r="E782" s="14">
        <v>1282.48803418803</v>
      </c>
    </row>
    <row r="783" ht="15.75" spans="1:5">
      <c r="A783" s="12">
        <v>782</v>
      </c>
      <c r="B783" s="1">
        <v>17</v>
      </c>
      <c r="C783" s="15" t="s">
        <v>69</v>
      </c>
      <c r="D783" s="3">
        <v>1759.49871794872</v>
      </c>
      <c r="E783" s="3">
        <v>2221.22051282051</v>
      </c>
    </row>
    <row r="784" ht="15.75" spans="1:5">
      <c r="A784" s="12">
        <v>783</v>
      </c>
      <c r="B784" s="1">
        <v>17</v>
      </c>
      <c r="C784" s="15" t="s">
        <v>186</v>
      </c>
      <c r="D784" s="3">
        <v>1786.49102564103</v>
      </c>
      <c r="E784" s="3">
        <v>2083.25982905983</v>
      </c>
    </row>
    <row r="785" ht="15.75" spans="1:5">
      <c r="A785" s="12">
        <v>784</v>
      </c>
      <c r="B785" s="1">
        <v>17</v>
      </c>
      <c r="C785" s="15" t="s">
        <v>70</v>
      </c>
      <c r="D785" s="3">
        <v>1867.46794871795</v>
      </c>
      <c r="E785" s="3">
        <v>1852.32564102564</v>
      </c>
    </row>
    <row r="786" ht="15.75" spans="1:5">
      <c r="A786" s="12">
        <v>785</v>
      </c>
      <c r="B786" s="1">
        <v>17</v>
      </c>
      <c r="C786" s="15" t="s">
        <v>70</v>
      </c>
      <c r="D786" s="3">
        <v>1855.47136752137</v>
      </c>
      <c r="E786" s="3">
        <v>1759.35213675214</v>
      </c>
    </row>
    <row r="787" ht="15.75" spans="1:5">
      <c r="A787" s="12">
        <v>786</v>
      </c>
      <c r="B787" s="1">
        <v>17</v>
      </c>
      <c r="C787" s="15" t="s">
        <v>70</v>
      </c>
      <c r="D787" s="3">
        <v>1714.51153846154</v>
      </c>
      <c r="E787" s="3">
        <v>1543.41367521368</v>
      </c>
    </row>
    <row r="788" ht="15.75" spans="1:5">
      <c r="A788" s="12">
        <v>787</v>
      </c>
      <c r="B788" s="1">
        <v>17</v>
      </c>
      <c r="C788" s="15" t="s">
        <v>70</v>
      </c>
      <c r="D788" s="3">
        <v>1732.50641025641</v>
      </c>
      <c r="E788" s="3">
        <v>1318.47777777778</v>
      </c>
    </row>
    <row r="789" ht="15.75" spans="1:5">
      <c r="A789" s="12">
        <v>788</v>
      </c>
      <c r="B789" s="1">
        <v>17</v>
      </c>
      <c r="C789" s="15" t="s">
        <v>141</v>
      </c>
      <c r="D789" s="3">
        <v>1378.60726495727</v>
      </c>
      <c r="E789" s="3">
        <v>1276.48974358974</v>
      </c>
    </row>
    <row r="790" ht="15.75" spans="1:5">
      <c r="A790" s="12">
        <v>789</v>
      </c>
      <c r="B790" s="1">
        <v>17</v>
      </c>
      <c r="C790" s="15" t="s">
        <v>73</v>
      </c>
      <c r="D790" s="3">
        <v>1297.63034188034</v>
      </c>
      <c r="E790" s="3">
        <v>1225.50427350427</v>
      </c>
    </row>
    <row r="791" ht="15.75" spans="1:5">
      <c r="A791" s="12">
        <v>790</v>
      </c>
      <c r="B791" s="1">
        <v>17</v>
      </c>
      <c r="C791" s="15" t="s">
        <v>74</v>
      </c>
      <c r="D791" s="3">
        <v>1195.6594017094</v>
      </c>
      <c r="E791" s="3">
        <v>1249.49743589744</v>
      </c>
    </row>
    <row r="792" ht="15.75" spans="1:5">
      <c r="A792" s="12">
        <v>791</v>
      </c>
      <c r="B792" s="1">
        <v>17</v>
      </c>
      <c r="C792" s="15" t="s">
        <v>75</v>
      </c>
      <c r="D792" s="3">
        <v>1384.60555555556</v>
      </c>
      <c r="E792" s="3">
        <v>1123.53333333333</v>
      </c>
    </row>
    <row r="793" ht="15.75" spans="1:5">
      <c r="A793" s="12">
        <v>792</v>
      </c>
      <c r="B793" s="1">
        <v>17</v>
      </c>
      <c r="C793" s="15" t="s">
        <v>76</v>
      </c>
      <c r="D793" s="3">
        <v>1156.67051282051</v>
      </c>
      <c r="E793" s="3">
        <v>925.589743589744</v>
      </c>
    </row>
    <row r="794" ht="15.75" spans="1:5">
      <c r="A794" s="12">
        <v>793</v>
      </c>
      <c r="B794" s="1">
        <v>17</v>
      </c>
      <c r="C794" s="15" t="s">
        <v>78</v>
      </c>
      <c r="D794" s="3">
        <v>1348.61581196581</v>
      </c>
      <c r="E794" s="3">
        <v>772.633333333333</v>
      </c>
    </row>
    <row r="795" ht="15.75" spans="1:5">
      <c r="A795" s="12">
        <v>794</v>
      </c>
      <c r="B795" s="1">
        <v>17</v>
      </c>
      <c r="C795" s="15" t="s">
        <v>78</v>
      </c>
      <c r="D795" s="3">
        <v>1378.60726495727</v>
      </c>
      <c r="E795" s="3">
        <v>631.673504273504</v>
      </c>
    </row>
    <row r="796" ht="15.75" spans="1:5">
      <c r="A796" s="12">
        <v>795</v>
      </c>
      <c r="B796" s="1">
        <v>17</v>
      </c>
      <c r="C796" s="15" t="s">
        <v>79</v>
      </c>
      <c r="D796" s="3">
        <v>1180.66367521368</v>
      </c>
      <c r="E796" s="3">
        <v>397.740170940171</v>
      </c>
    </row>
    <row r="797" ht="15.75" spans="1:5">
      <c r="A797" s="12">
        <v>796</v>
      </c>
      <c r="B797" s="1">
        <v>17</v>
      </c>
      <c r="C797" s="15" t="s">
        <v>81</v>
      </c>
      <c r="D797" s="3">
        <v>1405.59957264957</v>
      </c>
      <c r="E797" s="3">
        <v>412.735897435897</v>
      </c>
    </row>
    <row r="798" ht="15.75" spans="1:5">
      <c r="A798" s="12">
        <v>797</v>
      </c>
      <c r="B798" s="1">
        <v>17</v>
      </c>
      <c r="C798" s="15" t="s">
        <v>81</v>
      </c>
      <c r="D798" s="3">
        <v>1336.61923076923</v>
      </c>
      <c r="E798" s="3">
        <v>337.757264957265</v>
      </c>
    </row>
    <row r="799" ht="15.75" spans="1:5">
      <c r="A799" s="12">
        <v>798</v>
      </c>
      <c r="B799" s="1">
        <v>17</v>
      </c>
      <c r="C799" s="15" t="s">
        <v>82</v>
      </c>
      <c r="D799" s="3">
        <v>2164.38333333333</v>
      </c>
      <c r="E799" s="3">
        <v>379.745299145299</v>
      </c>
    </row>
    <row r="800" ht="15.75" spans="1:5">
      <c r="A800" s="12">
        <v>799</v>
      </c>
      <c r="B800" s="1">
        <v>17</v>
      </c>
      <c r="C800" s="15" t="s">
        <v>83</v>
      </c>
      <c r="D800" s="3">
        <v>2125.39444444445</v>
      </c>
      <c r="E800" s="3">
        <v>472.718803418803</v>
      </c>
    </row>
    <row r="801" ht="15.75" spans="1:5">
      <c r="A801" s="12">
        <v>800</v>
      </c>
      <c r="B801" s="1">
        <v>17</v>
      </c>
      <c r="C801" s="15" t="s">
        <v>84</v>
      </c>
      <c r="D801" s="3">
        <v>2191.37564102564</v>
      </c>
      <c r="E801" s="3">
        <v>961.579487179487</v>
      </c>
    </row>
    <row r="802" ht="15.75" spans="1:5">
      <c r="A802" s="12">
        <v>801</v>
      </c>
      <c r="B802" s="1">
        <v>17</v>
      </c>
      <c r="C802" s="15" t="s">
        <v>85</v>
      </c>
      <c r="D802" s="3">
        <v>2224.36623931624</v>
      </c>
      <c r="E802" s="3">
        <v>1024.56153846154</v>
      </c>
    </row>
    <row r="803" ht="15.75" spans="1:5">
      <c r="A803" s="12">
        <v>802</v>
      </c>
      <c r="B803" s="1">
        <v>17</v>
      </c>
      <c r="C803" s="15" t="s">
        <v>86</v>
      </c>
      <c r="D803" s="3">
        <v>2224.36623931624</v>
      </c>
      <c r="E803" s="3">
        <v>1243.49914529915</v>
      </c>
    </row>
    <row r="804" ht="15.75" spans="1:5">
      <c r="A804" s="12">
        <v>803</v>
      </c>
      <c r="B804" s="1">
        <v>17</v>
      </c>
      <c r="C804" s="15" t="s">
        <v>142</v>
      </c>
      <c r="D804" s="3">
        <v>1927.45085470086</v>
      </c>
      <c r="E804" s="3">
        <v>1330.47435897436</v>
      </c>
    </row>
    <row r="805" ht="15.75" spans="1:5">
      <c r="A805" s="12">
        <v>804</v>
      </c>
      <c r="B805" s="1">
        <v>17</v>
      </c>
      <c r="C805" s="15" t="s">
        <v>88</v>
      </c>
      <c r="D805" s="3">
        <v>1768.49615384615</v>
      </c>
      <c r="E805" s="3">
        <v>1006.56666666667</v>
      </c>
    </row>
    <row r="806" ht="15.75" spans="1:5">
      <c r="A806" s="12">
        <v>805</v>
      </c>
      <c r="B806" s="1">
        <v>17</v>
      </c>
      <c r="C806" s="15" t="s">
        <v>90</v>
      </c>
      <c r="D806" s="3">
        <v>1273.63717948718</v>
      </c>
      <c r="E806" s="3">
        <v>1009.56581196581</v>
      </c>
    </row>
    <row r="807" ht="15.75" spans="1:5">
      <c r="A807" s="12">
        <v>806</v>
      </c>
      <c r="B807" s="1">
        <v>17</v>
      </c>
      <c r="C807" s="15" t="s">
        <v>91</v>
      </c>
      <c r="D807" s="3">
        <v>1363.61153846154</v>
      </c>
      <c r="E807" s="3">
        <v>832.616239316239</v>
      </c>
    </row>
    <row r="808" ht="15.75" spans="1:5">
      <c r="A808" s="12">
        <v>807</v>
      </c>
      <c r="B808" s="1">
        <v>17</v>
      </c>
      <c r="C808" s="15" t="s">
        <v>91</v>
      </c>
      <c r="D808" s="3">
        <v>1345.61666666667</v>
      </c>
      <c r="E808" s="3">
        <v>637.671794871795</v>
      </c>
    </row>
    <row r="809" ht="15.75" spans="1:5">
      <c r="A809" s="12">
        <v>808</v>
      </c>
      <c r="B809" s="1">
        <v>17</v>
      </c>
      <c r="C809" s="15" t="s">
        <v>259</v>
      </c>
      <c r="D809" s="3">
        <v>1258.64145299145</v>
      </c>
      <c r="E809" s="3">
        <v>625.675213675213</v>
      </c>
    </row>
    <row r="810" ht="15.75" spans="1:5">
      <c r="A810" s="12">
        <v>809</v>
      </c>
      <c r="B810" s="1">
        <v>17</v>
      </c>
      <c r="C810" s="15" t="s">
        <v>93</v>
      </c>
      <c r="D810" s="3">
        <v>1363.61153846154</v>
      </c>
      <c r="E810" s="3">
        <v>430.730769230769</v>
      </c>
    </row>
    <row r="811" ht="15.75" spans="1:5">
      <c r="A811" s="12">
        <v>810</v>
      </c>
      <c r="B811" s="1">
        <v>17</v>
      </c>
      <c r="C811" s="15" t="s">
        <v>95</v>
      </c>
      <c r="D811" s="3">
        <v>1408.59871794872</v>
      </c>
      <c r="E811" s="3">
        <v>358.751282051282</v>
      </c>
    </row>
    <row r="812" ht="15.75" spans="1:5">
      <c r="A812" s="12">
        <v>811</v>
      </c>
      <c r="B812" s="1">
        <v>17</v>
      </c>
      <c r="C812" s="15" t="s">
        <v>96</v>
      </c>
      <c r="D812" s="3">
        <v>1765.49700854701</v>
      </c>
      <c r="E812" s="3">
        <v>343.755555555556</v>
      </c>
    </row>
    <row r="813" ht="15.75" spans="1:5">
      <c r="A813" s="12">
        <v>812</v>
      </c>
      <c r="B813" s="1">
        <v>17</v>
      </c>
      <c r="C813" s="15" t="s">
        <v>104</v>
      </c>
      <c r="D813" s="3">
        <v>1963.4405982906</v>
      </c>
      <c r="E813" s="3">
        <v>298.768376068376</v>
      </c>
    </row>
    <row r="814" ht="15.75" spans="1:5">
      <c r="A814" s="12">
        <v>813</v>
      </c>
      <c r="B814" s="1">
        <v>17</v>
      </c>
      <c r="C814" s="15" t="s">
        <v>105</v>
      </c>
      <c r="D814" s="3">
        <v>2278.35085470086</v>
      </c>
      <c r="E814" s="3">
        <v>340.75641025641</v>
      </c>
    </row>
    <row r="815" ht="15.75" spans="1:5">
      <c r="A815" s="12">
        <v>814</v>
      </c>
      <c r="B815" s="1">
        <v>17</v>
      </c>
      <c r="C815" s="15" t="s">
        <v>109</v>
      </c>
      <c r="D815" s="3">
        <v>2185.37735042735</v>
      </c>
      <c r="E815" s="3">
        <v>1264.49316239316</v>
      </c>
    </row>
    <row r="816" ht="15.75" spans="1:5">
      <c r="A816" s="12">
        <v>815</v>
      </c>
      <c r="B816" s="1">
        <v>17</v>
      </c>
      <c r="C816" s="15" t="s">
        <v>187</v>
      </c>
      <c r="D816" s="3">
        <v>2290.34743589744</v>
      </c>
      <c r="E816" s="3">
        <v>1303.48205128205</v>
      </c>
    </row>
    <row r="817" ht="15.75" spans="1:5">
      <c r="A817" s="12">
        <v>816</v>
      </c>
      <c r="B817" s="1">
        <v>17</v>
      </c>
      <c r="C817" s="15" t="s">
        <v>107</v>
      </c>
      <c r="D817" s="3">
        <v>1897.4594017094</v>
      </c>
      <c r="E817" s="3">
        <v>1378.46068376068</v>
      </c>
    </row>
    <row r="818" ht="15.75" spans="1:5">
      <c r="A818" s="12">
        <v>817</v>
      </c>
      <c r="B818" s="1">
        <v>18</v>
      </c>
      <c r="C818" s="15" t="s">
        <v>122</v>
      </c>
      <c r="D818" s="3">
        <v>1786.49102564103</v>
      </c>
      <c r="E818" s="3">
        <v>2230.21794871795</v>
      </c>
    </row>
    <row r="819" ht="15.75" spans="1:5">
      <c r="A819" s="12">
        <v>818</v>
      </c>
      <c r="B819" s="1">
        <v>18</v>
      </c>
      <c r="C819" s="15" t="s">
        <v>143</v>
      </c>
      <c r="D819" s="3">
        <v>1876.46538461538</v>
      </c>
      <c r="E819" s="3">
        <v>1831.33162393162</v>
      </c>
    </row>
    <row r="820" ht="15.75" spans="1:5">
      <c r="A820" s="12">
        <v>819</v>
      </c>
      <c r="B820" s="1">
        <v>18</v>
      </c>
      <c r="C820" s="15" t="s">
        <v>193</v>
      </c>
      <c r="D820" s="3">
        <v>1654.52863247863</v>
      </c>
      <c r="E820" s="3">
        <v>1318.47777777778</v>
      </c>
    </row>
    <row r="821" ht="15.75" spans="1:5">
      <c r="A821" s="12">
        <v>820</v>
      </c>
      <c r="B821" s="1">
        <v>18</v>
      </c>
      <c r="C821" s="15" t="s">
        <v>124</v>
      </c>
      <c r="D821" s="3">
        <v>1285.63376068376</v>
      </c>
      <c r="E821" s="3">
        <v>1309.48034188034</v>
      </c>
    </row>
    <row r="822" ht="15.75" spans="1:5">
      <c r="A822" s="12">
        <v>821</v>
      </c>
      <c r="B822" s="1">
        <v>18</v>
      </c>
      <c r="C822" s="15" t="s">
        <v>125</v>
      </c>
      <c r="D822" s="3">
        <v>1216.65341880342</v>
      </c>
      <c r="E822" s="3">
        <v>1225.50427350427</v>
      </c>
    </row>
    <row r="823" ht="15.75" spans="1:5">
      <c r="A823" s="12">
        <v>822</v>
      </c>
      <c r="B823" s="1">
        <v>18</v>
      </c>
      <c r="C823" s="19" t="s">
        <v>125</v>
      </c>
      <c r="D823" s="3">
        <v>1381.60641025641</v>
      </c>
      <c r="E823" s="3">
        <v>1093.54188034188</v>
      </c>
    </row>
    <row r="824" ht="15.75" spans="1:5">
      <c r="A824" s="12">
        <v>823</v>
      </c>
      <c r="B824" s="1">
        <v>18</v>
      </c>
      <c r="C824" s="15" t="s">
        <v>125</v>
      </c>
      <c r="D824" s="3">
        <v>1258.64145299145</v>
      </c>
      <c r="E824" s="3">
        <v>1018.56324786325</v>
      </c>
    </row>
    <row r="825" ht="15.75" spans="1:5">
      <c r="A825" s="12">
        <v>824</v>
      </c>
      <c r="B825" s="1">
        <v>18</v>
      </c>
      <c r="C825" s="15" t="s">
        <v>126</v>
      </c>
      <c r="D825" s="3">
        <v>1159.66965811966</v>
      </c>
      <c r="E825" s="3">
        <v>937.586324786325</v>
      </c>
    </row>
    <row r="826" ht="15.75" spans="1:5">
      <c r="A826" s="12">
        <v>825</v>
      </c>
      <c r="B826" s="1">
        <v>18</v>
      </c>
      <c r="C826" s="15" t="s">
        <v>127</v>
      </c>
      <c r="D826" s="3">
        <v>1354.6141025641</v>
      </c>
      <c r="E826" s="3">
        <v>661.664957264957</v>
      </c>
    </row>
    <row r="827" ht="15.75" spans="1:5">
      <c r="A827" s="12">
        <v>826</v>
      </c>
      <c r="B827" s="1">
        <v>18</v>
      </c>
      <c r="C827" s="15" t="s">
        <v>128</v>
      </c>
      <c r="D827" s="3">
        <v>1267.63888888889</v>
      </c>
      <c r="E827" s="3">
        <v>529.702564102564</v>
      </c>
    </row>
    <row r="828" ht="15.75" spans="1:5">
      <c r="A828" s="12">
        <v>827</v>
      </c>
      <c r="B828" s="1">
        <v>18</v>
      </c>
      <c r="C828" s="15" t="s">
        <v>129</v>
      </c>
      <c r="D828" s="3">
        <v>1381.60641025641</v>
      </c>
      <c r="E828" s="3">
        <v>457.723076923077</v>
      </c>
    </row>
    <row r="829" ht="15.75" spans="1:5">
      <c r="A829" s="12">
        <v>828</v>
      </c>
      <c r="B829" s="1">
        <v>18</v>
      </c>
      <c r="C829" s="15" t="s">
        <v>130</v>
      </c>
      <c r="D829" s="3">
        <v>2164.38333333333</v>
      </c>
      <c r="E829" s="3">
        <v>514.706837606837</v>
      </c>
    </row>
    <row r="830" ht="15.75" spans="1:5">
      <c r="A830" s="12">
        <v>829</v>
      </c>
      <c r="B830" s="1">
        <v>18</v>
      </c>
      <c r="C830" s="15" t="s">
        <v>132</v>
      </c>
      <c r="D830" s="3">
        <v>2188.3764957265</v>
      </c>
      <c r="E830" s="3">
        <v>721.647863247863</v>
      </c>
    </row>
    <row r="831" ht="15.75" spans="1:5">
      <c r="A831" s="12">
        <v>830</v>
      </c>
      <c r="B831" s="1">
        <v>18</v>
      </c>
      <c r="C831" s="15" t="s">
        <v>232</v>
      </c>
      <c r="D831" s="3">
        <v>2272.35256410256</v>
      </c>
      <c r="E831" s="3">
        <v>1162.52222222222</v>
      </c>
    </row>
    <row r="832" ht="15.75" spans="1:5">
      <c r="A832" s="12">
        <v>831</v>
      </c>
      <c r="B832" s="1">
        <v>18</v>
      </c>
      <c r="C832" s="15" t="s">
        <v>260</v>
      </c>
      <c r="D832" s="3">
        <v>1921.45256410256</v>
      </c>
      <c r="E832" s="3">
        <v>1339.4717948718</v>
      </c>
    </row>
    <row r="833" ht="15.75" spans="1:5">
      <c r="A833" s="12">
        <v>832</v>
      </c>
      <c r="B833" s="1">
        <v>18</v>
      </c>
      <c r="C833" s="15" t="s">
        <v>238</v>
      </c>
      <c r="D833" s="3">
        <v>1741.50384615385</v>
      </c>
      <c r="E833" s="3">
        <v>1540.41452991453</v>
      </c>
    </row>
    <row r="834" ht="15.75" spans="1:5">
      <c r="A834" s="12">
        <v>833</v>
      </c>
      <c r="B834" s="1">
        <v>18</v>
      </c>
      <c r="C834" s="15" t="s">
        <v>261</v>
      </c>
      <c r="D834" s="3">
        <v>1729.50726495727</v>
      </c>
      <c r="E834" s="3">
        <v>2041.2717948718</v>
      </c>
    </row>
    <row r="835" ht="15.75" spans="1:5">
      <c r="A835" s="12">
        <v>834</v>
      </c>
      <c r="B835" s="1">
        <v>19</v>
      </c>
      <c r="C835" s="15" t="s">
        <v>216</v>
      </c>
      <c r="D835" s="3">
        <v>1747.50213675214</v>
      </c>
      <c r="E835" s="3">
        <v>2047.27008547009</v>
      </c>
    </row>
    <row r="836" ht="15.75" spans="1:5">
      <c r="A836" s="12">
        <v>835</v>
      </c>
      <c r="B836" s="1">
        <v>19</v>
      </c>
      <c r="C836" s="15" t="s">
        <v>216</v>
      </c>
      <c r="D836" s="3">
        <v>1645.5311965812</v>
      </c>
      <c r="E836" s="3">
        <v>1798.34102564103</v>
      </c>
    </row>
    <row r="837" ht="15.75" spans="1:5">
      <c r="A837" s="12">
        <v>836</v>
      </c>
      <c r="B837" s="1">
        <v>19</v>
      </c>
      <c r="C837" s="15" t="s">
        <v>216</v>
      </c>
      <c r="D837" s="3">
        <v>1867.46794871795</v>
      </c>
      <c r="E837" s="3">
        <v>1720.36324786325</v>
      </c>
    </row>
    <row r="838" ht="15.75" spans="1:5">
      <c r="A838" s="12">
        <v>837</v>
      </c>
      <c r="B838" s="1">
        <v>19</v>
      </c>
      <c r="C838" s="15" t="s">
        <v>241</v>
      </c>
      <c r="D838" s="3">
        <v>1849.47307692308</v>
      </c>
      <c r="E838" s="3">
        <v>1852.32564102564</v>
      </c>
    </row>
    <row r="839" ht="15.75" spans="1:5">
      <c r="A839" s="12">
        <v>838</v>
      </c>
      <c r="B839" s="1">
        <v>19</v>
      </c>
      <c r="C839" s="15" t="s">
        <v>258</v>
      </c>
      <c r="D839" s="3">
        <v>1801.48675213675</v>
      </c>
      <c r="E839" s="3">
        <v>1543.41367521368</v>
      </c>
    </row>
    <row r="840" ht="15.75" spans="1:5">
      <c r="A840" s="12">
        <v>839</v>
      </c>
      <c r="B840" s="1">
        <v>19</v>
      </c>
      <c r="C840" s="15" t="s">
        <v>219</v>
      </c>
      <c r="D840" s="3">
        <v>1933.44914529915</v>
      </c>
      <c r="E840" s="3">
        <v>1216.50683760684</v>
      </c>
    </row>
    <row r="841" ht="15.75" spans="1:5">
      <c r="A841" s="12">
        <v>840</v>
      </c>
      <c r="B841" s="1">
        <v>19</v>
      </c>
      <c r="C841" s="15" t="s">
        <v>221</v>
      </c>
      <c r="D841" s="3">
        <v>1303.62863247863</v>
      </c>
      <c r="E841" s="3">
        <v>1216.50683760684</v>
      </c>
    </row>
    <row r="842" ht="15.75" spans="1:5">
      <c r="A842" s="12">
        <v>841</v>
      </c>
      <c r="B842" s="1">
        <v>19</v>
      </c>
      <c r="C842" s="15" t="s">
        <v>225</v>
      </c>
      <c r="D842" s="3">
        <v>1711.51239316239</v>
      </c>
      <c r="E842" s="3">
        <v>1300.48290598291</v>
      </c>
    </row>
    <row r="843" ht="15.75" spans="1:5">
      <c r="A843" s="12">
        <v>842</v>
      </c>
      <c r="B843" s="1">
        <v>19</v>
      </c>
      <c r="C843" s="15" t="s">
        <v>226</v>
      </c>
      <c r="D843" s="3">
        <v>2341.33290598291</v>
      </c>
      <c r="E843" s="3">
        <v>1195.51282051282</v>
      </c>
    </row>
    <row r="844" ht="15.75" spans="1:5">
      <c r="A844" s="12">
        <v>843</v>
      </c>
      <c r="B844" s="1">
        <v>19</v>
      </c>
      <c r="C844" s="15" t="s">
        <v>227</v>
      </c>
      <c r="D844" s="3">
        <v>2206.37136752137</v>
      </c>
      <c r="E844" s="3">
        <v>1153.52478632479</v>
      </c>
    </row>
    <row r="845" ht="15.75" spans="1:5">
      <c r="A845" s="12">
        <v>844</v>
      </c>
      <c r="B845" s="1">
        <v>19</v>
      </c>
      <c r="C845" s="15" t="s">
        <v>229</v>
      </c>
      <c r="D845" s="3">
        <v>2263.35512820513</v>
      </c>
      <c r="E845" s="3">
        <v>1054.55299145299</v>
      </c>
    </row>
    <row r="846" ht="15.75" spans="1:5">
      <c r="A846" s="12">
        <v>845</v>
      </c>
      <c r="B846" s="1">
        <v>19</v>
      </c>
      <c r="C846" s="15" t="s">
        <v>262</v>
      </c>
      <c r="D846" s="3">
        <v>2173.38076923077</v>
      </c>
      <c r="E846" s="3">
        <v>847.611965811966</v>
      </c>
    </row>
    <row r="847" ht="15.75" spans="1:5">
      <c r="A847" s="12">
        <v>846</v>
      </c>
      <c r="B847" s="1">
        <v>19</v>
      </c>
      <c r="C847" s="15" t="s">
        <v>263</v>
      </c>
      <c r="D847" s="3">
        <v>2326.33717948718</v>
      </c>
      <c r="E847" s="3">
        <v>559.694017094017</v>
      </c>
    </row>
    <row r="848" ht="15.75" spans="1:5">
      <c r="A848" s="12">
        <v>847</v>
      </c>
      <c r="B848" s="1">
        <v>19</v>
      </c>
      <c r="C848" s="15" t="s">
        <v>263</v>
      </c>
      <c r="D848" s="3">
        <v>2119.39615384615</v>
      </c>
      <c r="E848" s="3">
        <v>517.705982905983</v>
      </c>
    </row>
    <row r="849" ht="15.75" spans="1:5">
      <c r="A849" s="12">
        <v>848</v>
      </c>
      <c r="B849" s="1">
        <v>19</v>
      </c>
      <c r="C849" s="15" t="s">
        <v>264</v>
      </c>
      <c r="D849" s="3">
        <v>2317.33974358974</v>
      </c>
      <c r="E849" s="3">
        <v>358.751282051282</v>
      </c>
    </row>
    <row r="850" ht="15.75" spans="1:5">
      <c r="A850" s="12">
        <v>849</v>
      </c>
      <c r="B850" s="1">
        <v>19</v>
      </c>
      <c r="C850" s="15" t="s">
        <v>264</v>
      </c>
      <c r="D850" s="3">
        <v>1882.46367521368</v>
      </c>
      <c r="E850" s="3">
        <v>328.759829059829</v>
      </c>
    </row>
    <row r="851" ht="15.75" spans="1:5">
      <c r="A851" s="12">
        <v>850</v>
      </c>
      <c r="B851" s="1">
        <v>19</v>
      </c>
      <c r="C851" s="15" t="s">
        <v>265</v>
      </c>
      <c r="D851" s="3">
        <v>1378.60726495727</v>
      </c>
      <c r="E851" s="3">
        <v>271.776068376068</v>
      </c>
    </row>
    <row r="852" ht="15.75" spans="1:5">
      <c r="A852" s="12">
        <v>851</v>
      </c>
      <c r="B852" s="1">
        <v>19</v>
      </c>
      <c r="C852" s="15" t="s">
        <v>266</v>
      </c>
      <c r="D852" s="3">
        <v>1189.66111111111</v>
      </c>
      <c r="E852" s="3">
        <v>520.705128205128</v>
      </c>
    </row>
    <row r="853" ht="15.75" spans="1:5">
      <c r="A853" s="12">
        <v>852</v>
      </c>
      <c r="B853" s="1">
        <v>19</v>
      </c>
      <c r="C853" s="15" t="s">
        <v>267</v>
      </c>
      <c r="D853" s="3">
        <v>1393.60299145299</v>
      </c>
      <c r="E853" s="3">
        <v>619.676923076923</v>
      </c>
    </row>
    <row r="854" ht="15.75" spans="1:5">
      <c r="A854" s="12">
        <v>853</v>
      </c>
      <c r="B854" s="1">
        <v>19</v>
      </c>
      <c r="C854" s="15" t="s">
        <v>268</v>
      </c>
      <c r="D854" s="3">
        <v>1390.60384615385</v>
      </c>
      <c r="E854" s="3">
        <v>742.64188034188</v>
      </c>
    </row>
    <row r="855" ht="15.75" spans="1:5">
      <c r="A855" s="12">
        <v>854</v>
      </c>
      <c r="B855" s="1">
        <v>19</v>
      </c>
      <c r="C855" s="15" t="s">
        <v>269</v>
      </c>
      <c r="D855" s="3">
        <v>1186.66196581197</v>
      </c>
      <c r="E855" s="3">
        <v>1069.54871794872</v>
      </c>
    </row>
    <row r="856" ht="15.75" spans="1:5">
      <c r="A856" s="12">
        <v>855</v>
      </c>
      <c r="B856" s="1">
        <v>19</v>
      </c>
      <c r="C856" s="15" t="s">
        <v>270</v>
      </c>
      <c r="D856" s="3">
        <v>1774.49444444445</v>
      </c>
      <c r="E856" s="3">
        <v>1960.29487179487</v>
      </c>
    </row>
    <row r="857" ht="15.75" spans="1:5">
      <c r="A857" s="12">
        <v>856</v>
      </c>
      <c r="B857" s="1">
        <v>20</v>
      </c>
      <c r="C857" s="15" t="s">
        <v>216</v>
      </c>
      <c r="D857" s="3">
        <v>1657.52777777778</v>
      </c>
      <c r="E857" s="3">
        <v>1720.36324786325</v>
      </c>
    </row>
    <row r="858" ht="15.75" spans="1:5">
      <c r="A858" s="12">
        <v>857</v>
      </c>
      <c r="B858" s="1">
        <v>20</v>
      </c>
      <c r="C858" s="15" t="s">
        <v>216</v>
      </c>
      <c r="D858" s="3">
        <v>1786.49102564103</v>
      </c>
      <c r="E858" s="3">
        <v>1465.4358974359</v>
      </c>
    </row>
    <row r="859" ht="15.75" spans="1:5">
      <c r="A859" s="12">
        <v>858</v>
      </c>
      <c r="B859" s="1">
        <v>20</v>
      </c>
      <c r="C859" s="15" t="s">
        <v>216</v>
      </c>
      <c r="D859" s="3">
        <v>1780.49273504274</v>
      </c>
      <c r="E859" s="3">
        <v>1300.48290598291</v>
      </c>
    </row>
    <row r="860" ht="15.75" spans="1:5">
      <c r="A860" s="12">
        <v>859</v>
      </c>
      <c r="B860" s="1">
        <v>20</v>
      </c>
      <c r="C860" s="15" t="s">
        <v>217</v>
      </c>
      <c r="D860" s="3">
        <v>1771.4952991453</v>
      </c>
      <c r="E860" s="3">
        <v>1357.46666666667</v>
      </c>
    </row>
    <row r="861" ht="15.75" spans="1:5">
      <c r="A861" s="12">
        <v>860</v>
      </c>
      <c r="B861" s="1">
        <v>20</v>
      </c>
      <c r="C861" s="15" t="s">
        <v>241</v>
      </c>
      <c r="D861" s="3">
        <v>1786.49102564103</v>
      </c>
      <c r="E861" s="3">
        <v>1207.5094017094</v>
      </c>
    </row>
    <row r="862" ht="15.75" spans="1:5">
      <c r="A862" s="12">
        <v>861</v>
      </c>
      <c r="B862" s="1">
        <v>20</v>
      </c>
      <c r="C862" s="15" t="s">
        <v>218</v>
      </c>
      <c r="D862" s="3">
        <v>1780.49273504274</v>
      </c>
      <c r="E862" s="3">
        <v>1045.55555555556</v>
      </c>
    </row>
    <row r="863" ht="15.75" spans="1:5">
      <c r="A863" s="12">
        <v>862</v>
      </c>
      <c r="B863" s="1">
        <v>20</v>
      </c>
      <c r="C863" s="15" t="s">
        <v>219</v>
      </c>
      <c r="D863" s="3">
        <v>1777.49358974359</v>
      </c>
      <c r="E863" s="3">
        <v>793.62735042735</v>
      </c>
    </row>
    <row r="864" ht="15.75" spans="1:5">
      <c r="A864" s="12">
        <v>863</v>
      </c>
      <c r="B864" s="1">
        <v>20</v>
      </c>
      <c r="C864" s="15" t="s">
        <v>219</v>
      </c>
      <c r="D864" s="3">
        <v>1765.49700854701</v>
      </c>
      <c r="E864" s="3">
        <v>373.747008547008</v>
      </c>
    </row>
    <row r="865" ht="15.75" spans="1:5">
      <c r="A865" s="12">
        <v>864</v>
      </c>
      <c r="B865" s="1">
        <v>20</v>
      </c>
      <c r="C865" s="15" t="s">
        <v>220</v>
      </c>
      <c r="D865" s="3">
        <v>1756.49957264957</v>
      </c>
      <c r="E865" s="3">
        <v>334.75811965812</v>
      </c>
    </row>
    <row r="866" ht="15.75" spans="1:5">
      <c r="A866" s="12">
        <v>865</v>
      </c>
      <c r="B866" s="1">
        <v>20</v>
      </c>
      <c r="C866" s="15" t="s">
        <v>221</v>
      </c>
      <c r="D866" s="3">
        <v>1660.52692307692</v>
      </c>
      <c r="E866" s="3">
        <v>376.746153846153</v>
      </c>
    </row>
    <row r="867" ht="15.75" spans="1:5">
      <c r="A867" s="12">
        <v>866</v>
      </c>
      <c r="B867" s="1">
        <v>20</v>
      </c>
      <c r="C867" s="15" t="s">
        <v>221</v>
      </c>
      <c r="D867" s="3">
        <v>1660.52692307692</v>
      </c>
      <c r="E867" s="3">
        <v>340.75641025641</v>
      </c>
    </row>
    <row r="868" ht="15.75" spans="1:5">
      <c r="A868" s="12">
        <v>867</v>
      </c>
      <c r="B868" s="1">
        <v>20</v>
      </c>
      <c r="C868" s="15" t="s">
        <v>222</v>
      </c>
      <c r="D868" s="3">
        <v>1996.4311965812</v>
      </c>
      <c r="E868" s="3">
        <v>277.774358974359</v>
      </c>
    </row>
    <row r="869" ht="15.75" spans="1:5">
      <c r="A869" s="12">
        <v>868</v>
      </c>
      <c r="B869" s="1">
        <v>20</v>
      </c>
      <c r="C869" s="15" t="s">
        <v>222</v>
      </c>
      <c r="D869" s="3">
        <v>2149.38760683761</v>
      </c>
      <c r="E869" s="3">
        <v>370.747863247863</v>
      </c>
    </row>
    <row r="870" ht="15.75" spans="1:5">
      <c r="A870" s="12">
        <v>869</v>
      </c>
      <c r="B870" s="1">
        <v>20</v>
      </c>
      <c r="C870" s="15" t="s">
        <v>225</v>
      </c>
      <c r="D870" s="3">
        <v>1867.46794871795</v>
      </c>
      <c r="E870" s="3">
        <v>394.741025641025</v>
      </c>
    </row>
    <row r="871" ht="15.75" spans="1:5">
      <c r="A871" s="12">
        <v>870</v>
      </c>
      <c r="B871" s="1">
        <v>20</v>
      </c>
      <c r="C871" s="15" t="s">
        <v>227</v>
      </c>
      <c r="D871" s="3">
        <v>1843.47478632479</v>
      </c>
      <c r="E871" s="3">
        <v>712.650427350427</v>
      </c>
    </row>
    <row r="872" ht="15.75" spans="1:5">
      <c r="A872" s="12">
        <v>871</v>
      </c>
      <c r="B872" s="1">
        <v>20</v>
      </c>
      <c r="C872" s="15" t="s">
        <v>229</v>
      </c>
      <c r="D872" s="3">
        <v>1846.47393162393</v>
      </c>
      <c r="E872" s="3">
        <v>766.635042735043</v>
      </c>
    </row>
    <row r="873" ht="15.75" spans="1:5">
      <c r="A873" s="12">
        <v>872</v>
      </c>
      <c r="B873" s="1">
        <v>20</v>
      </c>
      <c r="C873" s="15" t="s">
        <v>262</v>
      </c>
      <c r="D873" s="3">
        <v>1920</v>
      </c>
      <c r="E873" s="3">
        <v>1340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J18" sqref="J18"/>
    </sheetView>
  </sheetViews>
  <sheetFormatPr defaultColWidth="9.02654867256637" defaultRowHeight="13.5" outlineLevelCol="7"/>
  <sheetData>
    <row r="1" spans="1:8">
      <c r="A1" s="7" t="s">
        <v>274</v>
      </c>
      <c r="B1" s="7" t="s">
        <v>275</v>
      </c>
      <c r="C1" s="7" t="s">
        <v>59</v>
      </c>
      <c r="D1" s="7" t="s">
        <v>276</v>
      </c>
      <c r="E1" s="7" t="s">
        <v>60</v>
      </c>
      <c r="F1" s="7" t="s">
        <v>277</v>
      </c>
      <c r="G1" s="7" t="s">
        <v>278</v>
      </c>
      <c r="H1" s="7" t="s">
        <v>279</v>
      </c>
    </row>
    <row r="2" spans="1:8">
      <c r="A2" s="8">
        <v>1</v>
      </c>
      <c r="B2" s="8">
        <v>4</v>
      </c>
      <c r="C2" s="8">
        <v>2</v>
      </c>
      <c r="D2" s="8">
        <v>3</v>
      </c>
      <c r="E2" s="8">
        <v>4</v>
      </c>
      <c r="F2" s="8">
        <v>1</v>
      </c>
      <c r="G2" s="8">
        <v>8</v>
      </c>
      <c r="H2" s="8">
        <v>4</v>
      </c>
    </row>
    <row r="3" spans="1:8">
      <c r="A3" s="8">
        <v>2</v>
      </c>
      <c r="B3" s="8">
        <v>5</v>
      </c>
      <c r="C3" s="8">
        <v>2</v>
      </c>
      <c r="D3" s="8">
        <v>8</v>
      </c>
      <c r="E3" s="8">
        <v>10</v>
      </c>
      <c r="F3" s="8">
        <v>1</v>
      </c>
      <c r="G3" s="8">
        <v>3</v>
      </c>
      <c r="H3" s="8">
        <v>4</v>
      </c>
    </row>
    <row r="4" spans="1:8">
      <c r="A4" s="8">
        <v>3</v>
      </c>
      <c r="B4" s="8">
        <v>3</v>
      </c>
      <c r="C4" s="8">
        <v>6</v>
      </c>
      <c r="D4" s="8">
        <v>5</v>
      </c>
      <c r="E4" s="8">
        <v>7</v>
      </c>
      <c r="F4" s="8">
        <v>1</v>
      </c>
      <c r="G4" s="8">
        <v>3</v>
      </c>
      <c r="H4" s="8">
        <v>5</v>
      </c>
    </row>
    <row r="5" spans="1:8">
      <c r="A5" s="8">
        <v>4</v>
      </c>
      <c r="B5" s="8">
        <v>6</v>
      </c>
      <c r="C5" s="8">
        <v>5</v>
      </c>
      <c r="D5" s="8">
        <v>4</v>
      </c>
      <c r="E5" s="8">
        <v>6</v>
      </c>
      <c r="F5" s="8">
        <v>2</v>
      </c>
      <c r="G5" s="8">
        <v>9</v>
      </c>
      <c r="H5" s="8">
        <v>6</v>
      </c>
    </row>
    <row r="6" spans="1:8">
      <c r="A6" s="8">
        <v>5</v>
      </c>
      <c r="B6" s="8">
        <v>6</v>
      </c>
      <c r="C6" s="8">
        <v>6</v>
      </c>
      <c r="D6" s="8">
        <v>5</v>
      </c>
      <c r="E6" s="8">
        <v>8</v>
      </c>
      <c r="F6" s="8">
        <v>3</v>
      </c>
      <c r="G6" s="8">
        <v>2</v>
      </c>
      <c r="H6" s="8">
        <v>7</v>
      </c>
    </row>
    <row r="7" spans="1:8">
      <c r="A7" s="8">
        <v>6</v>
      </c>
      <c r="B7" s="8">
        <v>6</v>
      </c>
      <c r="C7" s="8">
        <v>6</v>
      </c>
      <c r="D7" s="8">
        <v>3</v>
      </c>
      <c r="E7" s="8">
        <v>7</v>
      </c>
      <c r="F7" s="8">
        <v>1</v>
      </c>
      <c r="G7" s="8">
        <v>10</v>
      </c>
      <c r="H7" s="8">
        <v>6</v>
      </c>
    </row>
    <row r="8" spans="1:8">
      <c r="A8" s="8">
        <v>7</v>
      </c>
      <c r="B8" s="8">
        <v>6</v>
      </c>
      <c r="C8" s="8">
        <v>3</v>
      </c>
      <c r="D8" s="8">
        <v>4</v>
      </c>
      <c r="E8" s="8">
        <v>5</v>
      </c>
      <c r="F8" s="8">
        <v>1</v>
      </c>
      <c r="G8" s="8">
        <v>8</v>
      </c>
      <c r="H8" s="8">
        <v>5</v>
      </c>
    </row>
    <row r="9" spans="1:8">
      <c r="A9" s="8">
        <v>8</v>
      </c>
      <c r="B9" s="8">
        <v>7</v>
      </c>
      <c r="C9" s="8">
        <v>5</v>
      </c>
      <c r="D9" s="8">
        <v>4</v>
      </c>
      <c r="E9" s="8">
        <v>6</v>
      </c>
      <c r="F9" s="8">
        <v>1</v>
      </c>
      <c r="G9" s="8">
        <v>3</v>
      </c>
      <c r="H9" s="8">
        <v>7</v>
      </c>
    </row>
    <row r="10" spans="1:8">
      <c r="A10" s="8">
        <v>9</v>
      </c>
      <c r="B10" s="8">
        <v>7</v>
      </c>
      <c r="C10" s="8">
        <v>7</v>
      </c>
      <c r="D10" s="8">
        <v>8</v>
      </c>
      <c r="E10" s="8">
        <v>9</v>
      </c>
      <c r="F10" s="8">
        <v>3</v>
      </c>
      <c r="G10" s="8">
        <v>5</v>
      </c>
      <c r="H10" s="8">
        <v>6</v>
      </c>
    </row>
    <row r="11" spans="1:8">
      <c r="A11" s="8">
        <v>10</v>
      </c>
      <c r="B11" s="8">
        <v>7</v>
      </c>
      <c r="C11" s="8">
        <v>7</v>
      </c>
      <c r="D11" s="8">
        <v>6</v>
      </c>
      <c r="E11" s="8">
        <v>8</v>
      </c>
      <c r="F11" s="8">
        <v>1</v>
      </c>
      <c r="G11" s="8">
        <v>3</v>
      </c>
      <c r="H11" s="8">
        <v>6</v>
      </c>
    </row>
    <row r="12" spans="1:8">
      <c r="A12" s="8">
        <v>11</v>
      </c>
      <c r="B12" s="8">
        <v>6</v>
      </c>
      <c r="C12" s="8">
        <v>6</v>
      </c>
      <c r="D12" s="8">
        <v>7</v>
      </c>
      <c r="E12" s="8">
        <v>4</v>
      </c>
      <c r="F12" s="8">
        <v>5</v>
      </c>
      <c r="G12" s="8">
        <v>3</v>
      </c>
      <c r="H12" s="8">
        <v>4</v>
      </c>
    </row>
    <row r="13" spans="1:8">
      <c r="A13" s="8">
        <v>12</v>
      </c>
      <c r="B13" s="8">
        <v>5</v>
      </c>
      <c r="C13" s="8">
        <v>7</v>
      </c>
      <c r="D13" s="8">
        <v>8</v>
      </c>
      <c r="E13" s="8">
        <v>9</v>
      </c>
      <c r="F13" s="8">
        <v>1</v>
      </c>
      <c r="G13" s="8">
        <v>3</v>
      </c>
      <c r="H13" s="8">
        <v>5</v>
      </c>
    </row>
    <row r="14" spans="1:8">
      <c r="A14" s="8">
        <v>13</v>
      </c>
      <c r="B14" s="8">
        <v>7</v>
      </c>
      <c r="C14" s="8">
        <v>2</v>
      </c>
      <c r="D14" s="8">
        <v>3</v>
      </c>
      <c r="E14" s="8">
        <v>10</v>
      </c>
      <c r="F14" s="8">
        <v>6</v>
      </c>
      <c r="G14" s="8">
        <v>4</v>
      </c>
      <c r="H14" s="8">
        <v>5</v>
      </c>
    </row>
    <row r="15" spans="1:8">
      <c r="A15" s="8">
        <v>14</v>
      </c>
      <c r="B15" s="8">
        <v>4</v>
      </c>
      <c r="C15" s="8">
        <v>10</v>
      </c>
      <c r="D15" s="8">
        <v>4</v>
      </c>
      <c r="E15" s="8">
        <v>6</v>
      </c>
      <c r="F15" s="8">
        <v>1</v>
      </c>
      <c r="G15" s="8">
        <v>3</v>
      </c>
      <c r="H15" s="8">
        <v>6</v>
      </c>
    </row>
    <row r="16" spans="1:8">
      <c r="A16" s="8">
        <v>15</v>
      </c>
      <c r="B16" s="8">
        <v>7</v>
      </c>
      <c r="C16" s="8">
        <v>3</v>
      </c>
      <c r="D16" s="8">
        <v>2</v>
      </c>
      <c r="E16" s="8">
        <v>10</v>
      </c>
      <c r="F16" s="8">
        <v>1</v>
      </c>
      <c r="G16" s="8">
        <v>5</v>
      </c>
      <c r="H16" s="8">
        <v>7</v>
      </c>
    </row>
    <row r="17" spans="1:8">
      <c r="A17" s="8">
        <v>16</v>
      </c>
      <c r="B17" s="8">
        <v>6</v>
      </c>
      <c r="C17" s="8">
        <v>5</v>
      </c>
      <c r="D17" s="8">
        <v>6</v>
      </c>
      <c r="E17" s="8">
        <v>7</v>
      </c>
      <c r="F17" s="8">
        <v>10</v>
      </c>
      <c r="G17" s="8">
        <v>4</v>
      </c>
      <c r="H17" s="8">
        <v>5</v>
      </c>
    </row>
    <row r="18" spans="1:8">
      <c r="A18" s="8">
        <v>17</v>
      </c>
      <c r="B18" s="8">
        <v>5</v>
      </c>
      <c r="C18" s="8">
        <v>8</v>
      </c>
      <c r="D18" s="8">
        <v>7</v>
      </c>
      <c r="E18" s="8">
        <v>9</v>
      </c>
      <c r="F18" s="8">
        <v>2</v>
      </c>
      <c r="G18" s="8">
        <v>1</v>
      </c>
      <c r="H18" s="8">
        <v>6</v>
      </c>
    </row>
    <row r="19" spans="1:8">
      <c r="A19" s="8">
        <v>18</v>
      </c>
      <c r="B19" s="8">
        <v>5</v>
      </c>
      <c r="C19" s="8">
        <v>7</v>
      </c>
      <c r="D19" s="8">
        <v>8</v>
      </c>
      <c r="E19" s="8">
        <v>10</v>
      </c>
      <c r="F19" s="8">
        <v>9</v>
      </c>
      <c r="G19" s="8">
        <v>6</v>
      </c>
      <c r="H19" s="8">
        <v>6</v>
      </c>
    </row>
    <row r="20" spans="1:8">
      <c r="A20" s="8">
        <v>19</v>
      </c>
      <c r="B20" s="8">
        <v>7</v>
      </c>
      <c r="C20" s="8">
        <v>6</v>
      </c>
      <c r="D20" s="8">
        <v>5</v>
      </c>
      <c r="E20" s="8">
        <v>9</v>
      </c>
      <c r="F20" s="8">
        <v>2</v>
      </c>
      <c r="G20" s="8">
        <v>4</v>
      </c>
      <c r="H20" s="8">
        <v>7</v>
      </c>
    </row>
    <row r="21" spans="1:8">
      <c r="A21" s="8">
        <v>20</v>
      </c>
      <c r="B21" s="8">
        <v>5</v>
      </c>
      <c r="C21" s="8">
        <v>6</v>
      </c>
      <c r="D21" s="8">
        <v>5</v>
      </c>
      <c r="E21" s="8">
        <v>9</v>
      </c>
      <c r="F21" s="8">
        <v>1</v>
      </c>
      <c r="G21" s="8">
        <v>2</v>
      </c>
      <c r="H21" s="8">
        <v>6</v>
      </c>
    </row>
    <row r="22" spans="1:8">
      <c r="A22" s="8">
        <v>21</v>
      </c>
      <c r="B22" s="8">
        <v>7</v>
      </c>
      <c r="C22" s="8">
        <v>8</v>
      </c>
      <c r="D22" s="8">
        <v>7</v>
      </c>
      <c r="E22" s="8">
        <v>10</v>
      </c>
      <c r="F22" s="8">
        <v>2</v>
      </c>
      <c r="G22" s="8">
        <v>3</v>
      </c>
      <c r="H22" s="8">
        <v>6</v>
      </c>
    </row>
    <row r="23" spans="1:8">
      <c r="A23" s="8">
        <v>22</v>
      </c>
      <c r="B23" s="8">
        <v>7</v>
      </c>
      <c r="C23" s="8">
        <v>4</v>
      </c>
      <c r="D23" s="8">
        <v>5</v>
      </c>
      <c r="E23" s="8">
        <v>9</v>
      </c>
      <c r="F23" s="8">
        <v>10</v>
      </c>
      <c r="G23" s="8">
        <v>8</v>
      </c>
      <c r="H23" s="8">
        <v>5</v>
      </c>
    </row>
    <row r="24" spans="1:8">
      <c r="A24" s="8">
        <v>23</v>
      </c>
      <c r="B24" s="8">
        <v>7</v>
      </c>
      <c r="C24" s="8">
        <v>7</v>
      </c>
      <c r="D24" s="8">
        <v>1</v>
      </c>
      <c r="E24" s="8">
        <v>8</v>
      </c>
      <c r="F24" s="8">
        <v>5</v>
      </c>
      <c r="G24" s="8">
        <v>2</v>
      </c>
      <c r="H24" s="8">
        <v>7</v>
      </c>
    </row>
    <row r="25" spans="1:8">
      <c r="A25" s="8">
        <v>24</v>
      </c>
      <c r="B25" s="8">
        <v>6</v>
      </c>
      <c r="C25" s="8">
        <v>6</v>
      </c>
      <c r="D25" s="8">
        <v>5</v>
      </c>
      <c r="E25" s="8">
        <v>7</v>
      </c>
      <c r="F25" s="8">
        <v>8</v>
      </c>
      <c r="G25" s="8">
        <v>10</v>
      </c>
      <c r="H25" s="8">
        <v>7</v>
      </c>
    </row>
    <row r="26" spans="1:8">
      <c r="A26" s="8">
        <v>25</v>
      </c>
      <c r="B26" s="8">
        <v>6</v>
      </c>
      <c r="C26" s="8">
        <v>5</v>
      </c>
      <c r="D26" s="8">
        <v>6</v>
      </c>
      <c r="E26" s="8">
        <v>7</v>
      </c>
      <c r="F26" s="8">
        <v>10</v>
      </c>
      <c r="G26" s="8">
        <v>2</v>
      </c>
      <c r="H26" s="8">
        <v>7</v>
      </c>
    </row>
    <row r="27" spans="1:8">
      <c r="A27" s="8">
        <v>26</v>
      </c>
      <c r="B27" s="8">
        <v>7</v>
      </c>
      <c r="C27" s="8">
        <v>6</v>
      </c>
      <c r="D27" s="8">
        <v>1</v>
      </c>
      <c r="E27" s="8">
        <v>2</v>
      </c>
      <c r="F27" s="8">
        <v>5</v>
      </c>
      <c r="G27" s="8">
        <v>8</v>
      </c>
      <c r="H27" s="8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workbookViewId="0">
      <selection activeCell="I20" sqref="I20"/>
    </sheetView>
  </sheetViews>
  <sheetFormatPr defaultColWidth="9.02654867256637" defaultRowHeight="13.5" outlineLevelCol="5"/>
  <cols>
    <col min="2" max="3" width="12.7964601769912"/>
  </cols>
  <sheetData>
    <row r="1" spans="1:6">
      <c r="A1" s="1" t="s">
        <v>61</v>
      </c>
      <c r="B1" s="1" t="s">
        <v>280</v>
      </c>
      <c r="C1" s="1" t="s">
        <v>281</v>
      </c>
      <c r="D1" s="2" t="s">
        <v>282</v>
      </c>
      <c r="E1" s="2" t="s">
        <v>283</v>
      </c>
      <c r="F1" s="2" t="s">
        <v>284</v>
      </c>
    </row>
    <row r="2" ht="14.25" spans="1:6">
      <c r="A2" s="1">
        <v>1</v>
      </c>
      <c r="B2" s="3">
        <v>1762.49786324786</v>
      </c>
      <c r="C2" s="3">
        <v>2242.21452991453</v>
      </c>
      <c r="D2" s="4">
        <v>24.2</v>
      </c>
      <c r="E2" s="4">
        <v>53.2</v>
      </c>
      <c r="F2" s="4">
        <v>1622</v>
      </c>
    </row>
    <row r="3" ht="14.25" spans="1:6">
      <c r="A3" s="1">
        <v>2</v>
      </c>
      <c r="B3" s="3">
        <v>1765.49700854701</v>
      </c>
      <c r="C3" s="3">
        <v>2008.2811965812</v>
      </c>
      <c r="D3" s="4">
        <v>25.9</v>
      </c>
      <c r="E3" s="5">
        <v>53</v>
      </c>
      <c r="F3" s="4">
        <v>385</v>
      </c>
    </row>
    <row r="4" ht="14.25" spans="1:6">
      <c r="A4" s="1">
        <v>3</v>
      </c>
      <c r="B4" s="3">
        <v>1771.4952991453</v>
      </c>
      <c r="C4" s="3">
        <v>1774.34786324786</v>
      </c>
      <c r="D4" s="4">
        <v>26.3</v>
      </c>
      <c r="E4" s="4">
        <v>52.2</v>
      </c>
      <c r="F4" s="4">
        <v>324</v>
      </c>
    </row>
    <row r="5" ht="14.25" spans="1:6">
      <c r="A5" s="1">
        <v>4</v>
      </c>
      <c r="B5" s="3">
        <v>1639.53290598291</v>
      </c>
      <c r="C5" s="3">
        <v>1372.46239316239</v>
      </c>
      <c r="D5" s="4">
        <v>26.6</v>
      </c>
      <c r="E5" s="4">
        <v>50.4</v>
      </c>
      <c r="F5" s="4">
        <v>58</v>
      </c>
    </row>
    <row r="6" ht="14.25" spans="1:6">
      <c r="A6" s="1">
        <v>5</v>
      </c>
      <c r="B6" s="3">
        <v>1753.50042735043</v>
      </c>
      <c r="C6" s="3">
        <v>1201.51111111111</v>
      </c>
      <c r="D6" s="4">
        <v>26.1</v>
      </c>
      <c r="E6" s="5">
        <v>51.3</v>
      </c>
      <c r="F6" s="4">
        <v>274</v>
      </c>
    </row>
    <row r="7" ht="14.25" spans="1:6">
      <c r="A7" s="1">
        <v>6</v>
      </c>
      <c r="B7" s="3">
        <v>1756.49957264957</v>
      </c>
      <c r="C7" s="3">
        <v>772.633333333333</v>
      </c>
      <c r="D7" s="4">
        <v>25.7</v>
      </c>
      <c r="E7" s="4">
        <v>52.7</v>
      </c>
      <c r="F7" s="4">
        <v>16</v>
      </c>
    </row>
    <row r="8" ht="14.25" spans="1:6">
      <c r="A8" s="1">
        <v>7</v>
      </c>
      <c r="B8" s="3">
        <v>1753.50042735043</v>
      </c>
      <c r="C8" s="3">
        <v>352.752991452991</v>
      </c>
      <c r="D8" s="4">
        <v>25.8</v>
      </c>
      <c r="E8" s="4">
        <v>51.1</v>
      </c>
      <c r="F8" s="4">
        <v>210</v>
      </c>
    </row>
    <row r="9" ht="14.25" spans="1:6">
      <c r="A9" s="1">
        <v>8</v>
      </c>
      <c r="B9" s="3">
        <v>2332.33547008547</v>
      </c>
      <c r="C9" s="3">
        <v>355.752136752137</v>
      </c>
      <c r="D9" s="4">
        <v>25.8</v>
      </c>
      <c r="E9" s="5">
        <v>52.8</v>
      </c>
      <c r="F9" s="4">
        <v>4</v>
      </c>
    </row>
    <row r="10" ht="14.25" spans="1:6">
      <c r="A10" s="1">
        <v>9</v>
      </c>
      <c r="B10" s="3">
        <v>2344.33205128205</v>
      </c>
      <c r="C10" s="3">
        <v>544.69829059829</v>
      </c>
      <c r="D10" s="4">
        <v>25.2</v>
      </c>
      <c r="E10" s="5">
        <v>51</v>
      </c>
      <c r="F10" s="4">
        <v>29</v>
      </c>
    </row>
    <row r="11" ht="14.25" spans="1:6">
      <c r="A11" s="1">
        <v>10</v>
      </c>
      <c r="B11" s="3">
        <v>2203.37222222222</v>
      </c>
      <c r="C11" s="3">
        <v>628.674358974359</v>
      </c>
      <c r="D11" s="4">
        <v>25.2</v>
      </c>
      <c r="E11" s="4">
        <v>51.3</v>
      </c>
      <c r="F11" s="4">
        <v>17.3</v>
      </c>
    </row>
    <row r="12" ht="14.25" spans="1:6">
      <c r="A12" s="1">
        <v>11</v>
      </c>
      <c r="B12" s="3">
        <v>2116.39700854701</v>
      </c>
      <c r="C12" s="3">
        <v>817.620512820513</v>
      </c>
      <c r="D12" s="5">
        <v>25.3</v>
      </c>
      <c r="E12" s="4">
        <v>50.6</v>
      </c>
      <c r="F12" s="4">
        <v>0.8</v>
      </c>
    </row>
    <row r="13" ht="14.25" spans="1:6">
      <c r="A13" s="1">
        <v>12</v>
      </c>
      <c r="B13" s="3">
        <v>2269.35341880342</v>
      </c>
      <c r="C13" s="3">
        <v>1327.47521367521</v>
      </c>
      <c r="D13" s="4">
        <v>25.4</v>
      </c>
      <c r="E13" s="4">
        <v>53.2</v>
      </c>
      <c r="F13" s="4">
        <v>4.1</v>
      </c>
    </row>
    <row r="14" ht="14.25" spans="1:6">
      <c r="A14" s="1">
        <v>13</v>
      </c>
      <c r="B14" s="3">
        <v>1438.59017094017</v>
      </c>
      <c r="C14" s="3">
        <v>2401.16923076923</v>
      </c>
      <c r="D14" s="4">
        <v>25.8</v>
      </c>
      <c r="E14" s="4">
        <v>52.2</v>
      </c>
      <c r="F14" s="4">
        <v>1420</v>
      </c>
    </row>
    <row r="15" ht="14.25" spans="1:6">
      <c r="A15" s="1">
        <v>14</v>
      </c>
      <c r="B15" s="3">
        <v>1432.59188034188</v>
      </c>
      <c r="C15" s="3">
        <v>2098.25555555556</v>
      </c>
      <c r="D15" s="4">
        <v>24.9</v>
      </c>
      <c r="E15" s="5">
        <v>54</v>
      </c>
      <c r="F15" s="4">
        <v>315</v>
      </c>
    </row>
    <row r="16" ht="14.25" spans="1:6">
      <c r="A16" s="1">
        <v>15</v>
      </c>
      <c r="B16" s="3">
        <v>1561.55512820513</v>
      </c>
      <c r="C16" s="3">
        <v>1993.28547008547</v>
      </c>
      <c r="D16" s="4">
        <v>25.2</v>
      </c>
      <c r="E16" s="5">
        <v>53.3</v>
      </c>
      <c r="F16" s="4">
        <v>235</v>
      </c>
    </row>
    <row r="17" ht="14.25" spans="1:6">
      <c r="A17" s="1">
        <v>16</v>
      </c>
      <c r="B17" s="3">
        <v>1957.44230769231</v>
      </c>
      <c r="C17" s="3">
        <v>1981.28888888889</v>
      </c>
      <c r="D17" s="4">
        <v>25.3</v>
      </c>
      <c r="E17" s="5">
        <v>53.9</v>
      </c>
      <c r="F17" s="4">
        <v>255</v>
      </c>
    </row>
    <row r="18" ht="14.25" spans="1:6">
      <c r="A18" s="1">
        <v>17</v>
      </c>
      <c r="B18" s="3">
        <v>2164.38333333333</v>
      </c>
      <c r="C18" s="3">
        <v>2101.2547008547</v>
      </c>
      <c r="D18" s="4">
        <v>25.9</v>
      </c>
      <c r="E18" s="5">
        <v>53.6</v>
      </c>
      <c r="F18" s="4">
        <v>285</v>
      </c>
    </row>
    <row r="19" ht="14.25" spans="1:6">
      <c r="A19" s="1">
        <v>18</v>
      </c>
      <c r="B19" s="3">
        <v>2167.38247863248</v>
      </c>
      <c r="C19" s="3">
        <v>2410.16666666667</v>
      </c>
      <c r="D19" s="4">
        <v>26.2</v>
      </c>
      <c r="E19" s="4">
        <v>51.3</v>
      </c>
      <c r="F19" s="4">
        <v>1388</v>
      </c>
    </row>
    <row r="20" ht="14.25" spans="1:6">
      <c r="A20" s="1">
        <v>19</v>
      </c>
      <c r="B20" s="3">
        <v>1681.52094017094</v>
      </c>
      <c r="C20" s="3">
        <v>1654.38205128205</v>
      </c>
      <c r="D20" s="4">
        <v>26.1</v>
      </c>
      <c r="E20" s="4">
        <v>51.6</v>
      </c>
      <c r="F20" s="4">
        <v>311</v>
      </c>
    </row>
    <row r="21" ht="14.25" spans="1:6">
      <c r="A21" s="1">
        <v>20</v>
      </c>
      <c r="B21" s="3">
        <v>1834.47735042735</v>
      </c>
      <c r="C21" s="3">
        <v>1654.38205128205</v>
      </c>
      <c r="D21" s="4">
        <v>25.6</v>
      </c>
      <c r="E21" s="4">
        <v>52.1</v>
      </c>
      <c r="F21" s="4">
        <v>314</v>
      </c>
    </row>
    <row r="22" ht="14.25" spans="1:6">
      <c r="A22" s="1">
        <v>21</v>
      </c>
      <c r="B22" s="3">
        <v>1840.47564102564</v>
      </c>
      <c r="C22" s="3">
        <v>1831.33162393162</v>
      </c>
      <c r="D22" s="4">
        <v>25.5</v>
      </c>
      <c r="E22" s="4">
        <v>52.5</v>
      </c>
      <c r="F22" s="4">
        <v>304</v>
      </c>
    </row>
    <row r="23" ht="14.25" spans="1:6">
      <c r="A23" s="1">
        <v>22</v>
      </c>
      <c r="B23" s="3">
        <v>1669.52435897436</v>
      </c>
      <c r="C23" s="3">
        <v>1828.33247863248</v>
      </c>
      <c r="D23" s="4">
        <v>25.7</v>
      </c>
      <c r="E23" s="4">
        <v>51.8</v>
      </c>
      <c r="F23" s="4">
        <v>296</v>
      </c>
    </row>
    <row r="24" ht="14.25" spans="1:6">
      <c r="A24" s="1">
        <v>23</v>
      </c>
      <c r="B24" s="3">
        <v>1441.58931623932</v>
      </c>
      <c r="C24" s="3">
        <v>1138.52905982906</v>
      </c>
      <c r="D24" s="4">
        <v>25.4</v>
      </c>
      <c r="E24" s="4">
        <v>52</v>
      </c>
      <c r="F24" s="4">
        <v>259</v>
      </c>
    </row>
    <row r="25" ht="14.25" spans="1:6">
      <c r="A25" s="1">
        <v>24</v>
      </c>
      <c r="B25" s="3">
        <v>1444.58846153846</v>
      </c>
      <c r="C25" s="3">
        <v>1411.45128205128</v>
      </c>
      <c r="D25" s="4">
        <v>25.6</v>
      </c>
      <c r="E25" s="4">
        <v>53</v>
      </c>
      <c r="F25" s="4">
        <v>261</v>
      </c>
    </row>
    <row r="26" ht="14.25" spans="1:6">
      <c r="A26" s="1">
        <v>25</v>
      </c>
      <c r="B26" s="3">
        <v>2083.40641025641</v>
      </c>
      <c r="C26" s="3">
        <v>1423.44786324786</v>
      </c>
      <c r="D26" s="4">
        <v>26.1</v>
      </c>
      <c r="E26" s="5">
        <v>51.8</v>
      </c>
      <c r="F26" s="4">
        <v>277</v>
      </c>
    </row>
    <row r="27" ht="14.25" spans="1:6">
      <c r="A27" s="1">
        <v>26</v>
      </c>
      <c r="B27" s="3">
        <v>2098.40213675214</v>
      </c>
      <c r="C27" s="3">
        <v>1126.53247863248</v>
      </c>
      <c r="D27" s="4">
        <v>26.1</v>
      </c>
      <c r="E27" s="5">
        <v>52.3</v>
      </c>
      <c r="F27" s="4">
        <v>285</v>
      </c>
    </row>
    <row r="28" ht="14.25" spans="1:6">
      <c r="A28" s="1">
        <v>27</v>
      </c>
      <c r="B28" s="3">
        <v>1591.54658119658</v>
      </c>
      <c r="C28" s="3">
        <v>976.575213675214</v>
      </c>
      <c r="D28" s="4">
        <v>25.1</v>
      </c>
      <c r="E28" s="4">
        <v>53</v>
      </c>
      <c r="F28" s="4">
        <v>24</v>
      </c>
    </row>
    <row r="29" ht="14.25" spans="1:6">
      <c r="A29" s="1">
        <v>28</v>
      </c>
      <c r="B29" s="3">
        <v>1942.44658119658</v>
      </c>
      <c r="C29" s="3">
        <v>976.575213675214</v>
      </c>
      <c r="D29" s="4">
        <v>25.2</v>
      </c>
      <c r="E29" s="4">
        <v>52.1</v>
      </c>
      <c r="F29" s="4">
        <v>26</v>
      </c>
    </row>
    <row r="30" ht="14.25" spans="1:6">
      <c r="A30" s="1">
        <v>29</v>
      </c>
      <c r="B30" s="3">
        <v>1942.44658119658</v>
      </c>
      <c r="C30" s="3">
        <v>625.675213675214</v>
      </c>
      <c r="D30" s="4">
        <v>25.3</v>
      </c>
      <c r="E30" s="4">
        <v>51.7</v>
      </c>
      <c r="F30" s="4">
        <v>34</v>
      </c>
    </row>
    <row r="31" ht="14.25" spans="1:6">
      <c r="A31" s="1">
        <v>30</v>
      </c>
      <c r="B31" s="3">
        <v>1585.54829059829</v>
      </c>
      <c r="C31" s="3">
        <v>616.677777777778</v>
      </c>
      <c r="D31" s="4">
        <v>24.6</v>
      </c>
      <c r="E31" s="4">
        <v>52.2</v>
      </c>
      <c r="F31" s="4">
        <v>33</v>
      </c>
    </row>
    <row r="32" ht="14.25" spans="1:6">
      <c r="A32" s="1">
        <v>31</v>
      </c>
      <c r="B32" s="3">
        <v>1432.59188034188</v>
      </c>
      <c r="C32" s="3">
        <v>466.720512820513</v>
      </c>
      <c r="D32" s="4">
        <v>25.2</v>
      </c>
      <c r="E32" s="4">
        <v>51.1</v>
      </c>
      <c r="F32" s="4">
        <v>89</v>
      </c>
    </row>
    <row r="33" ht="14.25" spans="1:6">
      <c r="A33" s="1">
        <v>32</v>
      </c>
      <c r="B33" s="3">
        <v>1441.58931623932</v>
      </c>
      <c r="C33" s="3">
        <v>247.782905982906</v>
      </c>
      <c r="D33" s="4">
        <v>25.3</v>
      </c>
      <c r="E33" s="4">
        <v>51.5</v>
      </c>
      <c r="F33" s="4">
        <v>85</v>
      </c>
    </row>
    <row r="34" ht="14.25" spans="1:6">
      <c r="A34" s="1">
        <v>33</v>
      </c>
      <c r="B34" s="3">
        <v>2095.40299145299</v>
      </c>
      <c r="C34" s="3">
        <v>247.782905982906</v>
      </c>
      <c r="D34" s="4">
        <v>25.1</v>
      </c>
      <c r="E34" s="4">
        <v>52.1</v>
      </c>
      <c r="F34" s="4">
        <v>101</v>
      </c>
    </row>
    <row r="35" ht="14.25" spans="1:6">
      <c r="A35" s="1">
        <v>34</v>
      </c>
      <c r="B35" s="3">
        <v>2080.40726495727</v>
      </c>
      <c r="C35" s="3">
        <v>469.719658119658</v>
      </c>
      <c r="D35" s="4">
        <v>25.2</v>
      </c>
      <c r="E35" s="4">
        <v>51.9</v>
      </c>
      <c r="F35" s="4">
        <v>96</v>
      </c>
    </row>
    <row r="36" ht="14.25" spans="1:6">
      <c r="A36" s="1">
        <v>35</v>
      </c>
      <c r="B36" s="3">
        <v>2368.32521367521</v>
      </c>
      <c r="C36" s="3">
        <v>247.782905982906</v>
      </c>
      <c r="D36" s="4">
        <v>25.4</v>
      </c>
      <c r="E36" s="5">
        <v>53.1</v>
      </c>
      <c r="F36" s="4">
        <v>12</v>
      </c>
    </row>
    <row r="37" ht="14.25" spans="1:6">
      <c r="A37" s="1">
        <v>36</v>
      </c>
      <c r="B37" s="3">
        <v>2422.30982905983</v>
      </c>
      <c r="C37" s="3">
        <v>607.680341880342</v>
      </c>
      <c r="D37" s="4">
        <v>24.6</v>
      </c>
      <c r="E37" s="5">
        <v>51.5</v>
      </c>
      <c r="F37" s="4">
        <v>31</v>
      </c>
    </row>
    <row r="38" ht="14.25" spans="1:6">
      <c r="A38" s="1">
        <v>37</v>
      </c>
      <c r="B38" s="3">
        <v>2098.40213675214</v>
      </c>
      <c r="C38" s="3">
        <v>598.682905982906</v>
      </c>
      <c r="D38" s="4">
        <v>24.7</v>
      </c>
      <c r="E38" s="4">
        <v>52.3</v>
      </c>
      <c r="F38" s="4">
        <v>22</v>
      </c>
    </row>
    <row r="39" ht="14.25" spans="1:6">
      <c r="A39" s="1">
        <v>38</v>
      </c>
      <c r="B39" s="3">
        <v>2098.40213675214</v>
      </c>
      <c r="C39" s="3">
        <v>997.569230769231</v>
      </c>
      <c r="D39" s="5">
        <v>25</v>
      </c>
      <c r="E39" s="4">
        <v>51</v>
      </c>
      <c r="F39" s="4">
        <v>6</v>
      </c>
    </row>
    <row r="40" ht="14.25" spans="1:6">
      <c r="A40" s="1">
        <v>39</v>
      </c>
      <c r="B40" s="3">
        <v>2419.31068376068</v>
      </c>
      <c r="C40" s="3">
        <v>985.57264957265</v>
      </c>
      <c r="D40" s="5">
        <v>24.8</v>
      </c>
      <c r="E40" s="4">
        <v>52</v>
      </c>
      <c r="F40" s="4">
        <v>8</v>
      </c>
    </row>
    <row r="41" ht="14.25" spans="1:6">
      <c r="A41" s="1">
        <v>40</v>
      </c>
      <c r="B41" s="3">
        <v>2386.32008547009</v>
      </c>
      <c r="C41" s="3">
        <v>1411.45128205128</v>
      </c>
      <c r="D41" s="4">
        <v>24.6</v>
      </c>
      <c r="E41" s="4">
        <v>53.9</v>
      </c>
      <c r="F41" s="4">
        <v>3</v>
      </c>
    </row>
    <row r="42" ht="14.25" spans="1:6">
      <c r="A42" s="1">
        <v>41</v>
      </c>
      <c r="B42" s="3">
        <v>1102.6858974359</v>
      </c>
      <c r="C42" s="3">
        <v>1363.46495726496</v>
      </c>
      <c r="D42" s="4">
        <v>25.3</v>
      </c>
      <c r="E42" s="4">
        <v>52.1</v>
      </c>
      <c r="F42" s="4">
        <v>16</v>
      </c>
    </row>
    <row r="43" ht="14.25" spans="1:6">
      <c r="A43" s="1">
        <v>42</v>
      </c>
      <c r="B43" s="3">
        <v>1099.68675213675</v>
      </c>
      <c r="C43" s="3">
        <v>235.786324786324</v>
      </c>
      <c r="D43" s="4">
        <v>24.6</v>
      </c>
      <c r="E43" s="4">
        <v>53.9</v>
      </c>
      <c r="F43" s="4">
        <v>3</v>
      </c>
    </row>
    <row r="44" ht="14.25" spans="1:6">
      <c r="A44" s="1">
        <v>43</v>
      </c>
      <c r="B44" s="3">
        <v>1762.49786324786</v>
      </c>
      <c r="C44" s="3">
        <v>1255.49572649573</v>
      </c>
      <c r="D44" s="4">
        <v>25.5</v>
      </c>
      <c r="E44" s="4">
        <v>54.2</v>
      </c>
      <c r="F44" s="4">
        <v>236</v>
      </c>
    </row>
    <row r="45" ht="14.25" spans="1:6">
      <c r="A45" s="1">
        <v>44</v>
      </c>
      <c r="B45" s="3">
        <v>1768.49615384615</v>
      </c>
      <c r="C45" s="3">
        <v>1036.55811965812</v>
      </c>
      <c r="D45" s="4">
        <v>25.7</v>
      </c>
      <c r="E45" s="5">
        <v>55</v>
      </c>
      <c r="F45" s="4">
        <v>1930</v>
      </c>
    </row>
    <row r="46" ht="14.25" spans="1:6">
      <c r="A46" s="1">
        <v>45</v>
      </c>
      <c r="B46" s="3">
        <v>1267.63888888889</v>
      </c>
      <c r="C46" s="3">
        <v>1291.48547008547</v>
      </c>
      <c r="D46" s="4">
        <v>25.7</v>
      </c>
      <c r="E46" s="4">
        <v>53.2</v>
      </c>
      <c r="F46" s="4">
        <v>4.3</v>
      </c>
    </row>
    <row r="47" ht="14.25" spans="1:6">
      <c r="A47" s="1">
        <v>46</v>
      </c>
      <c r="B47" s="3">
        <v>1276.63632478632</v>
      </c>
      <c r="C47" s="3">
        <v>1051.55384615385</v>
      </c>
      <c r="D47" s="4">
        <v>25.8</v>
      </c>
      <c r="E47" s="4">
        <v>53.1</v>
      </c>
      <c r="F47" s="4">
        <v>47.8</v>
      </c>
    </row>
    <row r="48" ht="14.25" spans="1:6">
      <c r="A48" s="1">
        <v>47</v>
      </c>
      <c r="B48" s="3">
        <v>1390.60384615385</v>
      </c>
      <c r="C48" s="3">
        <v>766.635042735043</v>
      </c>
      <c r="D48" s="4">
        <v>26.1</v>
      </c>
      <c r="E48" s="5">
        <v>51.4</v>
      </c>
      <c r="F48" s="4">
        <v>142.3</v>
      </c>
    </row>
    <row r="49" ht="14.25" spans="1:6">
      <c r="A49" s="1">
        <v>48</v>
      </c>
      <c r="B49" s="3">
        <v>1378.60726495726</v>
      </c>
      <c r="C49" s="3">
        <v>460.722222222222</v>
      </c>
      <c r="D49" s="4">
        <v>26.5</v>
      </c>
      <c r="E49" s="4">
        <v>52.7</v>
      </c>
      <c r="F49" s="4">
        <v>12.4</v>
      </c>
    </row>
    <row r="50" ht="14.25" spans="1:6">
      <c r="A50" s="1">
        <v>49</v>
      </c>
      <c r="B50" s="3">
        <v>1498.57307692308</v>
      </c>
      <c r="C50" s="3">
        <v>307.765811965812</v>
      </c>
      <c r="D50" s="4">
        <v>26.6</v>
      </c>
      <c r="E50" s="4">
        <v>51.1</v>
      </c>
      <c r="F50" s="4">
        <v>51.1</v>
      </c>
    </row>
    <row r="51" ht="14.25" spans="1:6">
      <c r="A51" s="1">
        <v>50</v>
      </c>
      <c r="B51" s="3">
        <v>2287.34829059829</v>
      </c>
      <c r="C51" s="3">
        <v>511.707692307692</v>
      </c>
      <c r="D51" s="4">
        <v>26.8</v>
      </c>
      <c r="E51" s="4">
        <v>51.2</v>
      </c>
      <c r="F51" s="4">
        <v>51.2</v>
      </c>
    </row>
    <row r="52" ht="14.25" spans="1:6">
      <c r="A52" s="1">
        <v>51</v>
      </c>
      <c r="B52" s="3">
        <v>2170.38162393162</v>
      </c>
      <c r="C52" s="3">
        <v>784.629914529914</v>
      </c>
      <c r="D52" s="4">
        <v>26.5</v>
      </c>
      <c r="E52" s="4">
        <v>50.3</v>
      </c>
      <c r="F52" s="4">
        <v>50.3</v>
      </c>
    </row>
    <row r="53" ht="14.25" spans="1:6">
      <c r="A53" s="1">
        <v>52</v>
      </c>
      <c r="B53" s="3">
        <v>2128.39358974359</v>
      </c>
      <c r="C53" s="3">
        <v>1033.55897435897</v>
      </c>
      <c r="D53" s="4">
        <v>26.4</v>
      </c>
      <c r="E53" s="4">
        <v>51.4</v>
      </c>
      <c r="F53" s="4">
        <v>51.4</v>
      </c>
    </row>
    <row r="54" ht="14.25" spans="1:6">
      <c r="A54" s="1">
        <v>53</v>
      </c>
      <c r="B54" s="3">
        <v>2197.37393162393</v>
      </c>
      <c r="C54" s="3">
        <v>1042.55641025641</v>
      </c>
      <c r="D54" s="4">
        <v>26.3</v>
      </c>
      <c r="E54" s="4">
        <v>50.2</v>
      </c>
      <c r="F54" s="4">
        <v>50.2</v>
      </c>
    </row>
    <row r="55" ht="14.25" spans="1:6">
      <c r="A55" s="1">
        <v>54</v>
      </c>
      <c r="B55" s="3">
        <v>1438.59017094017</v>
      </c>
      <c r="C55" s="3">
        <v>1339.4717948718</v>
      </c>
      <c r="D55" s="4">
        <v>25.69</v>
      </c>
      <c r="E55" s="4">
        <v>52.4</v>
      </c>
      <c r="F55" s="4">
        <v>8.3</v>
      </c>
    </row>
    <row r="56" ht="14.25" spans="1:6">
      <c r="A56" s="1">
        <v>55</v>
      </c>
      <c r="B56" s="3">
        <v>1426.59358974359</v>
      </c>
      <c r="C56" s="3">
        <v>1126.53247863248</v>
      </c>
      <c r="D56" s="4">
        <v>25.75</v>
      </c>
      <c r="E56" s="4">
        <v>53.4</v>
      </c>
      <c r="F56" s="4">
        <v>57.8</v>
      </c>
    </row>
    <row r="57" ht="14.25" spans="1:6">
      <c r="A57" s="1">
        <v>56</v>
      </c>
      <c r="B57" s="3">
        <v>1693.51752136752</v>
      </c>
      <c r="C57" s="3">
        <v>1129.53162393162</v>
      </c>
      <c r="D57" s="4">
        <v>25.8</v>
      </c>
      <c r="E57" s="4">
        <v>54</v>
      </c>
      <c r="F57" s="4">
        <v>1835</v>
      </c>
    </row>
    <row r="58" ht="14.25" spans="1:6">
      <c r="A58" s="1">
        <v>57</v>
      </c>
      <c r="B58" s="3">
        <v>1693.51752136752</v>
      </c>
      <c r="C58" s="3">
        <v>1009.56581196581</v>
      </c>
      <c r="D58" s="4">
        <v>25.85</v>
      </c>
      <c r="E58" s="4">
        <v>54.2</v>
      </c>
      <c r="F58" s="4">
        <v>1640</v>
      </c>
    </row>
    <row r="59" ht="14.25" spans="1:6">
      <c r="A59" s="1">
        <v>58</v>
      </c>
      <c r="B59" s="3">
        <v>1825.47991452992</v>
      </c>
      <c r="C59" s="3">
        <v>1006.56666666667</v>
      </c>
      <c r="D59" s="4">
        <v>25.75</v>
      </c>
      <c r="E59" s="4">
        <v>55</v>
      </c>
      <c r="F59" s="4">
        <v>1748</v>
      </c>
    </row>
    <row r="60" ht="14.25" spans="1:6">
      <c r="A60" s="1">
        <v>59</v>
      </c>
      <c r="B60" s="3">
        <v>1825.47991452992</v>
      </c>
      <c r="C60" s="3">
        <v>1132.53076923077</v>
      </c>
      <c r="D60" s="4">
        <v>25.7</v>
      </c>
      <c r="E60" s="4">
        <v>55.2</v>
      </c>
      <c r="F60" s="4">
        <v>1748</v>
      </c>
    </row>
    <row r="61" ht="14.25" spans="1:6">
      <c r="A61" s="1">
        <v>60</v>
      </c>
      <c r="B61" s="3">
        <v>1957.44230769231</v>
      </c>
      <c r="C61" s="3">
        <v>1129.53162393162</v>
      </c>
      <c r="D61" s="4">
        <v>25.79</v>
      </c>
      <c r="E61" s="4">
        <v>53.8</v>
      </c>
      <c r="F61" s="4">
        <v>62.8</v>
      </c>
    </row>
    <row r="62" ht="14.25" spans="1:6">
      <c r="A62" s="1">
        <v>61</v>
      </c>
      <c r="B62" s="3">
        <v>1960.44145299145</v>
      </c>
      <c r="C62" s="3">
        <v>1213.50769230769</v>
      </c>
      <c r="D62" s="4">
        <v>25.56</v>
      </c>
      <c r="E62" s="4">
        <v>54.24</v>
      </c>
      <c r="F62" s="4">
        <v>246</v>
      </c>
    </row>
    <row r="63" ht="14.25" spans="1:6">
      <c r="A63" s="1">
        <v>62</v>
      </c>
      <c r="B63" s="3">
        <v>2158.38504273504</v>
      </c>
      <c r="C63" s="3">
        <v>1204.51025641026</v>
      </c>
      <c r="D63" s="4">
        <v>26.38</v>
      </c>
      <c r="E63" s="4">
        <v>51.38</v>
      </c>
      <c r="F63" s="4">
        <v>51.5</v>
      </c>
    </row>
    <row r="64" ht="14.25" spans="1:6">
      <c r="A64" s="1">
        <v>63</v>
      </c>
      <c r="B64" s="3">
        <v>2158.38504273504</v>
      </c>
      <c r="C64" s="3">
        <v>1354.46752136752</v>
      </c>
      <c r="D64" s="4">
        <v>25.68</v>
      </c>
      <c r="E64" s="4">
        <v>52.43</v>
      </c>
      <c r="F64" s="4">
        <v>8.23</v>
      </c>
    </row>
    <row r="65" ht="14.25" spans="1:6">
      <c r="A65" s="1">
        <v>64</v>
      </c>
      <c r="B65" s="3">
        <v>1825.47991452992</v>
      </c>
      <c r="C65" s="3">
        <v>1336.47264957265</v>
      </c>
      <c r="D65" s="4">
        <v>25.55</v>
      </c>
      <c r="E65" s="4">
        <v>54.1</v>
      </c>
      <c r="F65" s="4">
        <v>236.05</v>
      </c>
    </row>
    <row r="66" ht="14.25" spans="1:6">
      <c r="A66" s="1">
        <v>65</v>
      </c>
      <c r="B66" s="3">
        <v>1828.47905982906</v>
      </c>
      <c r="C66" s="3">
        <v>1414.45042735043</v>
      </c>
      <c r="D66" s="4">
        <v>25.6</v>
      </c>
      <c r="E66" s="4">
        <v>54.11</v>
      </c>
      <c r="F66" s="4">
        <v>235.95</v>
      </c>
    </row>
    <row r="67" ht="14.25" spans="1:6">
      <c r="A67" s="1">
        <v>66</v>
      </c>
      <c r="B67" s="3">
        <v>1696.51666666667</v>
      </c>
      <c r="C67" s="3">
        <v>1417.44957264957</v>
      </c>
      <c r="D67" s="4">
        <v>25.6</v>
      </c>
      <c r="E67" s="4">
        <v>54.16</v>
      </c>
      <c r="F67" s="4">
        <v>235.87</v>
      </c>
    </row>
    <row r="68" ht="14.25" spans="1:6">
      <c r="A68" s="1">
        <v>67</v>
      </c>
      <c r="B68" s="3">
        <v>1702.51495726496</v>
      </c>
      <c r="C68" s="3">
        <v>1348.46923076923</v>
      </c>
      <c r="D68" s="4">
        <v>25.53</v>
      </c>
      <c r="E68" s="4">
        <v>54.07</v>
      </c>
      <c r="F68" s="4">
        <v>235.87</v>
      </c>
    </row>
    <row r="69" ht="14.25" spans="1:6">
      <c r="A69" s="1">
        <v>68</v>
      </c>
      <c r="B69" s="3">
        <v>1210.65512820513</v>
      </c>
      <c r="C69" s="3">
        <v>1360.46581196581</v>
      </c>
      <c r="D69" s="4">
        <v>25.67</v>
      </c>
      <c r="E69" s="4">
        <v>53.12</v>
      </c>
      <c r="F69" s="4">
        <v>4.35</v>
      </c>
    </row>
    <row r="70" ht="14.25" spans="1:6">
      <c r="A70" s="1">
        <v>69</v>
      </c>
      <c r="B70" s="3">
        <v>1198.65854700855</v>
      </c>
      <c r="C70" s="3">
        <v>940.58547008547</v>
      </c>
      <c r="D70" s="4">
        <v>25.78</v>
      </c>
      <c r="E70" s="4">
        <v>53.05</v>
      </c>
      <c r="F70" s="4">
        <v>47.74</v>
      </c>
    </row>
    <row r="71" ht="14.25" spans="1:6">
      <c r="A71" s="1">
        <v>70</v>
      </c>
      <c r="B71" s="3">
        <v>1426.59358974359</v>
      </c>
      <c r="C71" s="3">
        <v>937.586324786325</v>
      </c>
      <c r="D71" s="4">
        <v>25.72</v>
      </c>
      <c r="E71" s="4">
        <v>53.01</v>
      </c>
      <c r="F71" s="4">
        <v>47.69</v>
      </c>
    </row>
    <row r="72" ht="14.25" spans="1:6">
      <c r="A72" s="1">
        <v>71</v>
      </c>
      <c r="B72" s="3">
        <v>1198.65854700855</v>
      </c>
      <c r="C72" s="3">
        <v>595.683760683761</v>
      </c>
      <c r="D72" s="4">
        <v>26.44</v>
      </c>
      <c r="E72" s="4">
        <v>52.8</v>
      </c>
      <c r="F72" s="4">
        <v>12.3</v>
      </c>
    </row>
    <row r="73" ht="14.25" spans="1:6">
      <c r="A73" s="1">
        <v>72</v>
      </c>
      <c r="B73" s="3">
        <v>1435.59102564103</v>
      </c>
      <c r="C73" s="3">
        <v>601.682051282051</v>
      </c>
      <c r="D73" s="4">
        <v>26.34</v>
      </c>
      <c r="E73" s="4">
        <v>52.88</v>
      </c>
      <c r="F73" s="4">
        <v>12.39</v>
      </c>
    </row>
    <row r="74" ht="14.25" spans="1:6">
      <c r="A74" s="1">
        <v>73</v>
      </c>
      <c r="B74" s="3">
        <v>1207.65598290598</v>
      </c>
      <c r="C74" s="3">
        <v>244.78376068376</v>
      </c>
      <c r="D74" s="4">
        <v>26.54</v>
      </c>
      <c r="E74" s="4">
        <v>52.84</v>
      </c>
      <c r="F74" s="4">
        <v>12.35</v>
      </c>
    </row>
    <row r="75" ht="14.25" spans="1:6">
      <c r="A75" s="1">
        <v>74</v>
      </c>
      <c r="B75" s="3">
        <v>1426.59358974359</v>
      </c>
      <c r="C75" s="3">
        <v>253.781196581196</v>
      </c>
      <c r="D75" s="4">
        <v>26.5</v>
      </c>
      <c r="E75" s="4">
        <v>51.13</v>
      </c>
      <c r="F75" s="4">
        <v>51.1</v>
      </c>
    </row>
    <row r="76" ht="14.25" spans="1:6">
      <c r="A76" s="1">
        <v>75</v>
      </c>
      <c r="B76" s="3">
        <v>1687.51923076923</v>
      </c>
      <c r="C76" s="3">
        <v>463.721367521368</v>
      </c>
      <c r="D76" s="6">
        <v>25.1</v>
      </c>
      <c r="E76" s="6">
        <v>54.2</v>
      </c>
      <c r="F76" s="6">
        <v>1437</v>
      </c>
    </row>
    <row r="77" ht="14.25" spans="1:6">
      <c r="A77" s="1">
        <v>76</v>
      </c>
      <c r="B77" s="3">
        <v>1690.51837606838</v>
      </c>
      <c r="C77" s="3">
        <v>589.68547008547</v>
      </c>
      <c r="D77" s="4">
        <v>25.13</v>
      </c>
      <c r="E77" s="4">
        <v>54.22</v>
      </c>
      <c r="F77" s="4">
        <v>1436.93</v>
      </c>
    </row>
    <row r="78" ht="14.25" spans="1:6">
      <c r="A78" s="1">
        <v>77</v>
      </c>
      <c r="B78" s="3">
        <v>1828.47905982906</v>
      </c>
      <c r="C78" s="3">
        <v>598.682905982906</v>
      </c>
      <c r="D78" s="4">
        <v>25.14</v>
      </c>
      <c r="E78" s="4">
        <v>54.13</v>
      </c>
      <c r="F78" s="4">
        <v>1436.84</v>
      </c>
    </row>
    <row r="79" ht="14.25" spans="1:6">
      <c r="A79" s="1">
        <v>78</v>
      </c>
      <c r="B79" s="3">
        <v>1825.47991452992</v>
      </c>
      <c r="C79" s="3">
        <v>466.720512820513</v>
      </c>
      <c r="D79" s="4">
        <v>25.19</v>
      </c>
      <c r="E79" s="4">
        <v>54.06</v>
      </c>
      <c r="F79" s="4">
        <v>1436.76</v>
      </c>
    </row>
    <row r="80" ht="14.25" spans="1:6">
      <c r="A80" s="1">
        <v>79</v>
      </c>
      <c r="B80" s="3">
        <v>2095.40299145299</v>
      </c>
      <c r="C80" s="3">
        <v>253.781196581196</v>
      </c>
      <c r="D80" s="4">
        <v>26.47</v>
      </c>
      <c r="E80" s="4">
        <v>51.05</v>
      </c>
      <c r="F80" s="4">
        <v>51.06</v>
      </c>
    </row>
    <row r="81" ht="14.25" spans="1:6">
      <c r="A81" s="1">
        <v>80</v>
      </c>
      <c r="B81" s="3">
        <v>2308.34230769231</v>
      </c>
      <c r="C81" s="3">
        <v>253.781196581196</v>
      </c>
      <c r="D81" s="4">
        <v>26.46</v>
      </c>
      <c r="E81" s="4">
        <v>52.85</v>
      </c>
      <c r="F81" s="4">
        <v>12.41</v>
      </c>
    </row>
    <row r="82" ht="14.25" spans="1:6">
      <c r="A82" s="1">
        <v>81</v>
      </c>
      <c r="B82" s="3">
        <v>2083.40641025641</v>
      </c>
      <c r="C82" s="3">
        <v>658.665811965812</v>
      </c>
      <c r="D82" s="4">
        <v>26.57</v>
      </c>
      <c r="E82" s="4">
        <v>53.74</v>
      </c>
      <c r="F82" s="4">
        <v>50.4</v>
      </c>
    </row>
    <row r="83" ht="14.25" spans="1:6">
      <c r="A83" s="1">
        <v>82</v>
      </c>
      <c r="B83" s="3">
        <v>2317.33974358974</v>
      </c>
      <c r="C83" s="3">
        <v>655.666666666667</v>
      </c>
      <c r="D83" s="4">
        <v>26.43</v>
      </c>
      <c r="E83" s="4">
        <v>50.26</v>
      </c>
      <c r="F83" s="4">
        <v>50.26</v>
      </c>
    </row>
    <row r="84" ht="14.25" spans="1:6">
      <c r="A84" s="1">
        <v>83</v>
      </c>
      <c r="B84" s="3">
        <v>2095.40299145299</v>
      </c>
      <c r="C84" s="3">
        <v>1036.55811965812</v>
      </c>
      <c r="D84" s="4">
        <v>26.34</v>
      </c>
      <c r="E84" s="4">
        <v>51.31</v>
      </c>
      <c r="F84" s="4">
        <v>51.38</v>
      </c>
    </row>
    <row r="85" ht="14.25" spans="1:6">
      <c r="A85" s="1">
        <v>84</v>
      </c>
      <c r="B85" s="3">
        <v>2335.33461538462</v>
      </c>
      <c r="C85" s="3">
        <v>1030.55982905983</v>
      </c>
      <c r="D85" s="4">
        <v>26.37</v>
      </c>
      <c r="E85" s="4">
        <v>50.23</v>
      </c>
      <c r="F85" s="4">
        <v>50.15</v>
      </c>
    </row>
    <row r="86" ht="14.25" spans="1:6">
      <c r="A86" s="1">
        <v>85</v>
      </c>
      <c r="B86" s="3">
        <v>2326.33717948718</v>
      </c>
      <c r="C86" s="3">
        <v>1360.46581196581</v>
      </c>
      <c r="D86" s="4">
        <v>25.62</v>
      </c>
      <c r="E86" s="4">
        <v>52.5</v>
      </c>
      <c r="F86" s="4">
        <v>8.14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Sheet1</vt:lpstr>
      <vt:lpstr>PCA</vt:lpstr>
      <vt:lpstr>行为数据</vt:lpstr>
      <vt:lpstr>定位数据</vt:lpstr>
      <vt:lpstr>问卷数据</vt:lpstr>
      <vt:lpstr>物理量环境数据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研究生院</cp:lastModifiedBy>
  <dcterms:created xsi:type="dcterms:W3CDTF">2023-05-12T11:15:00Z</dcterms:created>
  <dcterms:modified xsi:type="dcterms:W3CDTF">2025-05-12T03:05:35Z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D8E73BAE781D41CEB1AE111A4DDA4C22_13</vt:lpwstr>
  </property>
</Properties>
</file>